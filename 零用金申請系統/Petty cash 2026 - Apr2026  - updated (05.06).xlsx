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st671nb\Desktop\AI優化實驗室流程\零用金程式碼\"/>
    </mc:Choice>
  </mc:AlternateContent>
  <bookViews>
    <workbookView xWindow="-105" yWindow="-105" windowWidth="23265" windowHeight="12465" firstSheet="1" activeTab="3"/>
  </bookViews>
  <sheets>
    <sheet name="24 March 2026 " sheetId="5" state="hidden" r:id="rId1"/>
    <sheet name="Mar26" sheetId="7" r:id="rId2"/>
    <sheet name="Apr26" sheetId="8" state="hidden" r:id="rId3"/>
    <sheet name="工作表3" sheetId="15" r:id="rId4"/>
    <sheet name="Apr2026" sheetId="12" r:id="rId5"/>
    <sheet name="工作表2" sheetId="14" r:id="rId6"/>
    <sheet name="工作表1" sheetId="6" state="hidden" r:id="rId7"/>
  </sheets>
  <definedNames>
    <definedName name="_xlnm._FilterDatabase" localSheetId="0" hidden="1">'24 March 2026 '!$A$5:$O$55</definedName>
    <definedName name="_xlnm._FilterDatabase" localSheetId="2" hidden="1">'Apr26'!$A$5:$T$96</definedName>
    <definedName name="_xlnm._FilterDatabase" localSheetId="1" hidden="1">'Mar26'!$A$5:$O$45</definedName>
  </definedNames>
  <calcPr calcId="152511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1" i="12" l="1"/>
  <c r="J2" i="12" l="1"/>
  <c r="K2" i="12" s="1"/>
  <c r="A60" i="8"/>
  <c r="A61" i="8"/>
  <c r="A62" i="8"/>
  <c r="A63" i="8"/>
  <c r="A64" i="8"/>
  <c r="A65" i="8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J50" i="12"/>
  <c r="J18" i="12"/>
  <c r="L91" i="8"/>
  <c r="A57" i="12" l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K3" i="12"/>
  <c r="K4" i="12" s="1"/>
  <c r="K5" i="12" s="1"/>
  <c r="K6" i="12" s="1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112" i="12"/>
  <c r="K113" i="12" s="1"/>
  <c r="J110" i="12"/>
  <c r="K22" i="8"/>
  <c r="K48" i="12" l="1"/>
  <c r="K49" i="12" s="1"/>
  <c r="K50" i="12" s="1"/>
  <c r="K51" i="12" s="1"/>
  <c r="K52" i="12" s="1"/>
  <c r="K53" i="12" s="1"/>
  <c r="K54" i="12" s="1"/>
  <c r="K55" i="12" s="1"/>
  <c r="K54" i="8"/>
  <c r="K90" i="8" s="1"/>
  <c r="K56" i="12" l="1"/>
  <c r="K57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K86" i="12" s="1"/>
  <c r="K87" i="12" s="1"/>
  <c r="K88" i="12" s="1"/>
  <c r="K89" i="12" s="1"/>
  <c r="K90" i="12" s="1"/>
  <c r="K91" i="12" s="1"/>
  <c r="K92" i="12" s="1"/>
  <c r="K93" i="12" s="1"/>
  <c r="K94" i="12" s="1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L92" i="8"/>
  <c r="L93" i="8" s="1"/>
  <c r="L6" i="8"/>
  <c r="K108" i="12" l="1"/>
  <c r="K109" i="12" s="1"/>
  <c r="L7" i="8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l="1"/>
  <c r="L62" i="8" s="1"/>
  <c r="L63" i="8" s="1"/>
  <c r="L64" i="8" s="1"/>
  <c r="L65" i="8" s="1"/>
  <c r="L66" i="8" s="1"/>
  <c r="L67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L7" i="7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75" i="5"/>
  <c r="L76" i="5"/>
  <c r="L77" i="5" s="1"/>
  <c r="L68" i="8" l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A30" i="8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L44" i="7"/>
  <c r="L45" i="7" s="1"/>
  <c r="L47" i="7" s="1"/>
  <c r="L7" i="5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l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84" i="8" l="1"/>
  <c r="L85" i="8" s="1"/>
  <c r="L86" i="8" s="1"/>
  <c r="L87" i="8" s="1"/>
  <c r="L88" i="8" s="1"/>
  <c r="L89" i="8" s="1"/>
  <c r="L42" i="5"/>
  <c r="L43" i="5" s="1"/>
  <c r="L44" i="5" l="1"/>
  <c r="L45" i="5" s="1"/>
  <c r="L46" i="5" s="1"/>
  <c r="L47" i="5" l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9" i="5" l="1"/>
</calcChain>
</file>

<file path=xl/sharedStrings.xml><?xml version="1.0" encoding="utf-8"?>
<sst xmlns="http://schemas.openxmlformats.org/spreadsheetml/2006/main" count="1727" uniqueCount="423">
  <si>
    <t>PETTY CASH LOG 零用现金记录</t>
  </si>
  <si>
    <t>MONTH:</t>
  </si>
  <si>
    <t>Invoice Date</t>
  </si>
  <si>
    <t>Reimbursement Date</t>
  </si>
  <si>
    <t>Cash In</t>
  </si>
  <si>
    <t>Cash Out</t>
  </si>
  <si>
    <t>Balance</t>
  </si>
  <si>
    <t>Water can for Flat</t>
  </si>
  <si>
    <t>Tools for company</t>
  </si>
  <si>
    <t>Stationary &amp; Cleaning Things</t>
  </si>
  <si>
    <t>EMF Electroplating Parts</t>
  </si>
  <si>
    <t>Flat Things</t>
  </si>
  <si>
    <t>13/3/2026</t>
  </si>
  <si>
    <t>Total cash left at month end</t>
  </si>
  <si>
    <t>Less: Total Cash Left</t>
  </si>
  <si>
    <t>Chinese Details</t>
  </si>
  <si>
    <t>Water Dispenser</t>
  </si>
  <si>
    <t>Transport Cost for Water Dispenser</t>
  </si>
  <si>
    <t>Housekeeping Salary</t>
  </si>
  <si>
    <t>Courier to Dynamic</t>
  </si>
  <si>
    <t>14/3/2026</t>
  </si>
  <si>
    <t>14/03/2026</t>
  </si>
  <si>
    <t>15/03/2026</t>
  </si>
  <si>
    <t>16/03/2026</t>
  </si>
  <si>
    <t>Jio Network</t>
  </si>
  <si>
    <t>17/03/2026</t>
  </si>
  <si>
    <t>18/03/2026</t>
  </si>
  <si>
    <t>Hand trolley</t>
  </si>
  <si>
    <t>Hand trolley Transport</t>
  </si>
  <si>
    <t>Courier to Taiwan</t>
  </si>
  <si>
    <t>SOV Sample cost</t>
  </si>
  <si>
    <t>Courier to vendor</t>
  </si>
  <si>
    <t>17/03/2027</t>
  </si>
  <si>
    <t>17/03/2028</t>
  </si>
  <si>
    <t>Diesel For Generator</t>
  </si>
  <si>
    <t>Diesel transport &amp; handeling</t>
  </si>
  <si>
    <t>Eb Lineman &amp; Forman Cost</t>
  </si>
  <si>
    <t>19/03/2026</t>
  </si>
  <si>
    <t>20/03/2026</t>
  </si>
  <si>
    <t>Flat Things by Yichang</t>
  </si>
  <si>
    <t>CMR purchase: air pipe fittings, 8mm air hose, tools, etc.</t>
  </si>
  <si>
    <t>Snacks (2F, 8F, factory)</t>
  </si>
  <si>
    <t>Baking mugs, frying strainers, water cups, serving bowls, filters, 18-inch fan</t>
  </si>
  <si>
    <t>Wall clock (SIDDHARTH QUARTZ-8001)</t>
  </si>
  <si>
    <t>Meal allowance (Yichang – Mr. Chen)</t>
  </si>
  <si>
    <t>Breakfast and dinner ingredients cost</t>
  </si>
  <si>
    <t>21/03/2026</t>
  </si>
  <si>
    <t>Water Can for Office</t>
  </si>
  <si>
    <t>Water Can for Flat</t>
  </si>
  <si>
    <t>No Bill</t>
  </si>
  <si>
    <t>24/03/2026</t>
  </si>
  <si>
    <t xml:space="preserve">Supplier Name </t>
  </si>
  <si>
    <t xml:space="preserve">CMR TOOLS </t>
  </si>
  <si>
    <t>Industrial Fan</t>
  </si>
  <si>
    <t xml:space="preserve">RS WATER SUPPLIER </t>
  </si>
  <si>
    <t xml:space="preserve">EMF </t>
  </si>
  <si>
    <t xml:space="preserve">SARVANA STORE </t>
  </si>
  <si>
    <t xml:space="preserve">RECIEPT </t>
  </si>
  <si>
    <t>NO</t>
  </si>
  <si>
    <t xml:space="preserve">YES </t>
  </si>
  <si>
    <t xml:space="preserve">G M MUTTU ELECTRONICS </t>
  </si>
  <si>
    <t>Appartment 801 Wifi installtion charge</t>
  </si>
  <si>
    <t xml:space="preserve">SEOUL STORE </t>
  </si>
  <si>
    <t xml:space="preserve">MR ENTERPRISE </t>
  </si>
  <si>
    <t xml:space="preserve">VANJAX SALES PVT LTD </t>
  </si>
  <si>
    <t xml:space="preserve">SOV ENGINEERING </t>
  </si>
  <si>
    <t>VMKC AGENCY</t>
  </si>
  <si>
    <t xml:space="preserve">SEOULE STORE </t>
  </si>
  <si>
    <t>OM SHAKTI KEY SHOP</t>
  </si>
  <si>
    <t xml:space="preserve">Making 2F &amp; 8F dormitory Duplicate key </t>
  </si>
  <si>
    <t xml:space="preserve">TASTY CHINA </t>
  </si>
  <si>
    <t>Internet modem Airtel Recharge</t>
  </si>
  <si>
    <t xml:space="preserve">AKSHAYA HYPER MARKET </t>
  </si>
  <si>
    <t>GST BILL</t>
  </si>
  <si>
    <t xml:space="preserve">Matthew </t>
  </si>
  <si>
    <t xml:space="preserve">Yi Chang </t>
  </si>
  <si>
    <t>KABIR</t>
  </si>
  <si>
    <t xml:space="preserve">Tai kun </t>
  </si>
  <si>
    <t>16/03/2026</t>
    <phoneticPr fontId="6" type="noConversion"/>
  </si>
  <si>
    <t>Cab Cost</t>
  </si>
  <si>
    <t>17/03/2026</t>
    <phoneticPr fontId="6" type="noConversion"/>
  </si>
  <si>
    <t>Taxi Cab on 19/03/2026</t>
  </si>
  <si>
    <t>3/26匯入</t>
    <phoneticPr fontId="6" type="noConversion"/>
  </si>
  <si>
    <t>26/03/2026</t>
    <phoneticPr fontId="6" type="noConversion"/>
  </si>
  <si>
    <t>工廠辦公室鑰匙拷貝</t>
    <phoneticPr fontId="6" type="noConversion"/>
  </si>
  <si>
    <r>
      <t>2F</t>
    </r>
    <r>
      <rPr>
        <b/>
        <sz val="11"/>
        <rFont val="細明體"/>
        <family val="3"/>
        <charset val="136"/>
      </rPr>
      <t>宿舍飲水</t>
    </r>
    <phoneticPr fontId="6" type="noConversion"/>
  </si>
  <si>
    <t>Sankar</t>
    <phoneticPr fontId="6" type="noConversion"/>
  </si>
  <si>
    <t>Detail</t>
    <phoneticPr fontId="6" type="noConversion"/>
  </si>
  <si>
    <t>Factory office key copy 10pcs</t>
    <phoneticPr fontId="6" type="noConversion"/>
  </si>
  <si>
    <t>Water Can for Flat  2f</t>
    <phoneticPr fontId="6" type="noConversion"/>
  </si>
  <si>
    <t>pay</t>
    <phoneticPr fontId="6" type="noConversion"/>
  </si>
  <si>
    <t>No Bill</t>
    <phoneticPr fontId="6" type="noConversion"/>
  </si>
  <si>
    <t>Y</t>
    <phoneticPr fontId="6" type="noConversion"/>
  </si>
  <si>
    <t xml:space="preserve">FILTER </t>
    <phoneticPr fontId="6" type="noConversion"/>
  </si>
  <si>
    <t>27/03/2026</t>
  </si>
  <si>
    <t xml:space="preserve">Tools for charging gun Department </t>
  </si>
  <si>
    <t>YES</t>
  </si>
  <si>
    <t>No</t>
  </si>
  <si>
    <t>23/03/2026</t>
  </si>
  <si>
    <t>RSK Courier</t>
  </si>
  <si>
    <t>26/03/2026</t>
  </si>
  <si>
    <t>Jio Pole Wielding</t>
  </si>
  <si>
    <t>30/3/2026</t>
  </si>
  <si>
    <t>31/3/2026</t>
  </si>
  <si>
    <t>RSK Samples</t>
  </si>
  <si>
    <t>Notary Signature</t>
  </si>
  <si>
    <t>Sov Sample</t>
  </si>
  <si>
    <t>Tools for Factory By Yichang</t>
  </si>
  <si>
    <t>Yes</t>
  </si>
  <si>
    <t>yes</t>
  </si>
  <si>
    <t>Water for flat</t>
  </si>
  <si>
    <t>Petrol from 01-03-26 to 31-03-26</t>
  </si>
  <si>
    <t>Arthi Courier Cost</t>
  </si>
  <si>
    <t>4/4/2026</t>
  </si>
  <si>
    <t>3/4/2026</t>
  </si>
  <si>
    <t>Flat Things By Yichang</t>
  </si>
  <si>
    <t>Seoul Store</t>
  </si>
  <si>
    <t>Food</t>
  </si>
  <si>
    <t>Hana Enterprises</t>
  </si>
  <si>
    <t>Groceries</t>
  </si>
  <si>
    <t>Madras Ago Products</t>
  </si>
  <si>
    <t>Bond Paper</t>
  </si>
  <si>
    <t>07/04/2026</t>
  </si>
  <si>
    <t>Print out</t>
  </si>
  <si>
    <t>Airtel</t>
  </si>
  <si>
    <t>Post Paid Recharge</t>
  </si>
  <si>
    <t>suriya traders</t>
  </si>
  <si>
    <t>Tools By Yichang</t>
  </si>
  <si>
    <t>Murugan Store</t>
  </si>
  <si>
    <t>Lunch Box, Spoon &amp; Forks</t>
  </si>
  <si>
    <r>
      <t>2F</t>
    </r>
    <r>
      <rPr>
        <b/>
        <sz val="11"/>
        <rFont val="細明體"/>
        <family val="3"/>
        <charset val="136"/>
      </rPr>
      <t>宿舍飲水</t>
    </r>
  </si>
  <si>
    <t>Fridge &amp; TV delivery charges</t>
  </si>
  <si>
    <t>802 Dormitory Electricity Fee</t>
    <phoneticPr fontId="3" type="noConversion"/>
  </si>
  <si>
    <t>802宿舍電費</t>
    <phoneticPr fontId="3" type="noConversion"/>
  </si>
  <si>
    <t>SURYA TRADERS</t>
    <phoneticPr fontId="3" type="noConversion"/>
  </si>
  <si>
    <t>沖壓用油及加油工具</t>
    <phoneticPr fontId="3" type="noConversion"/>
  </si>
  <si>
    <t>V.V.K.ENTERPRISES</t>
    <phoneticPr fontId="3" type="noConversion"/>
  </si>
  <si>
    <t>TV 運費</t>
    <phoneticPr fontId="3" type="noConversion"/>
  </si>
  <si>
    <t>smartshift logistics</t>
    <phoneticPr fontId="3" type="noConversion"/>
  </si>
  <si>
    <t>Croma 運費(電風扇)</t>
    <phoneticPr fontId="3" type="noConversion"/>
  </si>
  <si>
    <t>TV架子</t>
    <phoneticPr fontId="3" type="noConversion"/>
  </si>
  <si>
    <t>板車維修託運</t>
    <phoneticPr fontId="3" type="noConversion"/>
  </si>
  <si>
    <t>Documents to Worldtrund</t>
  </si>
  <si>
    <t>Opening Bal</t>
  </si>
  <si>
    <t>Cmr tools</t>
  </si>
  <si>
    <t>CMR TOOLS ( 充電槍產線工具 )</t>
  </si>
  <si>
    <t>生產線工具</t>
  </si>
  <si>
    <t>highway</t>
  </si>
  <si>
    <t>過路費</t>
  </si>
  <si>
    <t>高速公路過路費(找飯店)</t>
  </si>
  <si>
    <t>business phone</t>
  </si>
  <si>
    <t>airtel</t>
  </si>
  <si>
    <t>yi chang-電話費</t>
  </si>
  <si>
    <t>sankar 3月車費</t>
  </si>
  <si>
    <t>selvarani cabs</t>
  </si>
  <si>
    <t>交通車費(處長、義昌)</t>
  </si>
  <si>
    <t>kabir 3月車費</t>
  </si>
  <si>
    <t>交通車費(敏郁、集權)</t>
  </si>
  <si>
    <t>godson 3月車費</t>
  </si>
  <si>
    <t>交通車費(3月出車2天費用)</t>
  </si>
  <si>
    <t>March factory cleaning staff costs</t>
  </si>
  <si>
    <t>3月工廠清潔人員費用</t>
  </si>
  <si>
    <t>電視架*2個</t>
  </si>
  <si>
    <t>Tea fee from the power companypower copmpany</t>
  </si>
  <si>
    <t>貨櫃無法進來請電力公司的人來斷電拉電線</t>
  </si>
  <si>
    <t>Welding machine, pipe fittings, pressure gauges, and other tools</t>
  </si>
  <si>
    <t>SURYA TRADERS</t>
  </si>
  <si>
    <t>焊接機、接頭、壓力表氣管等零件</t>
  </si>
  <si>
    <t>V V K ENTERPRISES</t>
  </si>
  <si>
    <t>WATER CAN PURCHASE (20L)</t>
  </si>
  <si>
    <t>Purchase of tape C</t>
  </si>
  <si>
    <t>Mettur Transport</t>
  </si>
  <si>
    <t>TO PAY</t>
  </si>
  <si>
    <t>SNACKS (NUTS)</t>
  </si>
  <si>
    <t>Purchase of Tools</t>
  </si>
  <si>
    <t>ORBIT Wires &amp; Cables</t>
  </si>
  <si>
    <t xml:space="preserve">YI CHANG </t>
  </si>
  <si>
    <t>PAID</t>
  </si>
  <si>
    <t>Floor mount tv stand</t>
  </si>
  <si>
    <t>Total Expense</t>
  </si>
  <si>
    <t>Opening Balance</t>
  </si>
  <si>
    <t>Cash balance</t>
  </si>
  <si>
    <t>Courier to Bank (Harayana)</t>
  </si>
  <si>
    <t>Blue Dart</t>
  </si>
  <si>
    <t xml:space="preserve"> </t>
  </si>
  <si>
    <t>Surya Traders</t>
  </si>
  <si>
    <t>Purchase of Electrical Materials</t>
  </si>
  <si>
    <t>Purchase of Vegetable</t>
  </si>
  <si>
    <t>EKV market</t>
  </si>
  <si>
    <t xml:space="preserve">MATTHEW </t>
  </si>
  <si>
    <t>SANKAR</t>
  </si>
  <si>
    <t xml:space="preserve">Appartment - Wifi </t>
  </si>
  <si>
    <t>Airtel Postpaid Bill</t>
  </si>
  <si>
    <t>Purchase of Lunch Box</t>
  </si>
  <si>
    <t>Baskar Store</t>
  </si>
  <si>
    <t>Courier to vendor(Samples)</t>
  </si>
  <si>
    <t>..</t>
  </si>
  <si>
    <t>Purchase of Food-CQMS person-2Nos</t>
  </si>
  <si>
    <t>Padamavathi Hotel</t>
  </si>
  <si>
    <t>Cab charges</t>
  </si>
  <si>
    <t>TNEB 801 DORMITORY</t>
  </si>
  <si>
    <t>Apprtment EB bill</t>
  </si>
  <si>
    <t>CAB BOOKING (Airport to Prince)</t>
  </si>
  <si>
    <t>Cab book - Prince to Airport</t>
  </si>
  <si>
    <t>Cab book - Supporting Team</t>
  </si>
  <si>
    <t>Scirror lift Delivery charge(Hunter to KST)</t>
  </si>
  <si>
    <t>Delivery charge</t>
  </si>
  <si>
    <t>HUNTER</t>
  </si>
  <si>
    <t>TOTAL</t>
  </si>
  <si>
    <t>Incoming</t>
  </si>
  <si>
    <t>Outgoing</t>
  </si>
  <si>
    <t>Bill</t>
  </si>
  <si>
    <r>
      <t>2F</t>
    </r>
    <r>
      <rPr>
        <sz val="11"/>
        <rFont val="細明體"/>
        <family val="3"/>
        <charset val="136"/>
      </rPr>
      <t>宿舍飲水</t>
    </r>
  </si>
  <si>
    <t>Purchase of Mobil Oil</t>
  </si>
  <si>
    <t>Dielsel (Machine Cleaning)</t>
  </si>
  <si>
    <t>Bharat Petroleum</t>
  </si>
  <si>
    <t>Breakfast - Supporting Team</t>
  </si>
  <si>
    <t>Padmavathi Hotel</t>
  </si>
  <si>
    <t>Rapido (Porter)</t>
  </si>
  <si>
    <t>Porter Charges ( Hunter to KST)</t>
  </si>
  <si>
    <t>Food Exp Voucher</t>
  </si>
  <si>
    <t>Meals - Unloading truck drivers&amp;staff (5 nos)</t>
  </si>
  <si>
    <t>Meal for staffs (4 nos)</t>
  </si>
  <si>
    <t>Factory Cleaning work wages(3 person)</t>
  </si>
  <si>
    <t>Wages voucher</t>
  </si>
  <si>
    <t>CAB BOOKING (Prince to Airport)</t>
  </si>
  <si>
    <t>CAB BOOKING (Prince~Factory~Prince)</t>
  </si>
  <si>
    <t>Jio Network</t>
    <phoneticPr fontId="6" type="noConversion"/>
  </si>
  <si>
    <t>公寓用水桶</t>
  </si>
  <si>
    <t>公司工具</t>
  </si>
  <si>
    <t>文具與清潔用品</t>
  </si>
  <si>
    <t>EMF 電鍍零件</t>
  </si>
  <si>
    <t>公寓用品</t>
  </si>
  <si>
    <t>工業風扇</t>
  </si>
  <si>
    <t>飲水機</t>
  </si>
  <si>
    <t>飲水機運輸費</t>
  </si>
  <si>
    <t>清潔人員薪資</t>
  </si>
  <si>
    <t>801公寓 WiFi 安裝費</t>
  </si>
  <si>
    <t>計程車費</t>
  </si>
  <si>
    <t>早餐與晚餐食材費</t>
  </si>
  <si>
    <t>寄送至 Dynamic</t>
  </si>
  <si>
    <t>Jio 網路</t>
  </si>
  <si>
    <t>手推車</t>
  </si>
  <si>
    <t>手推車運輸</t>
  </si>
  <si>
    <t>寄送至台灣</t>
  </si>
  <si>
    <t>SOV 樣品費</t>
  </si>
  <si>
    <t>CMR 採購：氣管接頭、8mm氣管、工具等</t>
  </si>
  <si>
    <t>寄送給供應商</t>
  </si>
  <si>
    <t>發電機柴油</t>
  </si>
  <si>
    <t>柴油運輸與處理費</t>
  </si>
  <si>
    <t>電力工與領班費用</t>
  </si>
  <si>
    <t>由 Yichang 購買的公寓用品</t>
  </si>
  <si>
    <t>零食（2樓、8樓、工廠）</t>
  </si>
  <si>
    <t>製作2樓與8樓宿舍備用鑰匙</t>
  </si>
  <si>
    <t>烘焙杯、濾油器、水杯、碗、濾網、18吋風扇</t>
  </si>
  <si>
    <t>掛鐘（SIDDHARTH QUARTZ-8001）</t>
  </si>
  <si>
    <t>餐費補助（Yichang – Mr. Chen）</t>
  </si>
  <si>
    <t>2026/03/19 計程車費</t>
  </si>
  <si>
    <t>Airtel 網路數據卡充值</t>
  </si>
  <si>
    <t>Opening Bal</t>
    <phoneticPr fontId="6" type="noConversion"/>
  </si>
  <si>
    <t>沖壓產線工具</t>
    <phoneticPr fontId="6" type="noConversion"/>
  </si>
  <si>
    <t>smartshift logistics</t>
    <phoneticPr fontId="3" type="noConversion"/>
  </si>
  <si>
    <t>交通費</t>
    <phoneticPr fontId="6" type="noConversion"/>
  </si>
  <si>
    <t>D-Mart</t>
    <phoneticPr fontId="6" type="noConversion"/>
  </si>
  <si>
    <t>宿舍及工廠飲料、零食</t>
    <phoneticPr fontId="6" type="noConversion"/>
  </si>
  <si>
    <t>NAMMR FRUITS AND NUTS</t>
    <phoneticPr fontId="6" type="noConversion"/>
  </si>
  <si>
    <t>yichang 宿舍食材</t>
    <phoneticPr fontId="6" type="noConversion"/>
  </si>
  <si>
    <t>SEOUL STORE</t>
    <phoneticPr fontId="6" type="noConversion"/>
  </si>
  <si>
    <t>auto(運費)</t>
    <phoneticPr fontId="6" type="noConversion"/>
  </si>
  <si>
    <t>202宿舍飲用水及食材</t>
    <phoneticPr fontId="6" type="noConversion"/>
  </si>
  <si>
    <t>no</t>
    <phoneticPr fontId="6" type="noConversion"/>
  </si>
  <si>
    <t>SEOUL STORE</t>
    <phoneticPr fontId="6" type="noConversion"/>
  </si>
  <si>
    <t>yichang 宿舍食材</t>
    <phoneticPr fontId="6" type="noConversion"/>
  </si>
  <si>
    <t>SEOUL STORE</t>
    <phoneticPr fontId="6" type="noConversion"/>
  </si>
  <si>
    <t>拖板車送維修回廠運費</t>
    <phoneticPr fontId="6" type="noConversion"/>
  </si>
  <si>
    <t>交通費</t>
    <phoneticPr fontId="6" type="noConversion"/>
  </si>
  <si>
    <t>auto(運費)</t>
    <phoneticPr fontId="6" type="noConversion"/>
  </si>
  <si>
    <t>電子磅秤運費</t>
    <phoneticPr fontId="6" type="noConversion"/>
  </si>
  <si>
    <t>no</t>
    <phoneticPr fontId="6" type="noConversion"/>
  </si>
  <si>
    <t>辦公室用水桶</t>
    <phoneticPr fontId="6" type="noConversion"/>
  </si>
  <si>
    <t>公寓用水桶</t>
    <phoneticPr fontId="6" type="noConversion"/>
  </si>
  <si>
    <t>RSK 快遞</t>
    <phoneticPr fontId="6" type="noConversion"/>
  </si>
  <si>
    <t>yichang公寓用品</t>
    <phoneticPr fontId="6" type="noConversion"/>
  </si>
  <si>
    <t>yichang公寓用品</t>
    <phoneticPr fontId="6" type="noConversion"/>
  </si>
  <si>
    <t>工廠辦公室鑰匙複製（10把）</t>
    <phoneticPr fontId="6" type="noConversion"/>
  </si>
  <si>
    <t>公寓二樓用水桶</t>
    <phoneticPr fontId="6" type="noConversion"/>
  </si>
  <si>
    <t>Jio 電桿焊接</t>
    <phoneticPr fontId="6" type="noConversion"/>
  </si>
  <si>
    <t>充電槍部門工具</t>
    <phoneticPr fontId="6" type="noConversion"/>
  </si>
  <si>
    <t>RSK 樣品</t>
    <phoneticPr fontId="6" type="noConversion"/>
  </si>
  <si>
    <t>公寓用水</t>
    <phoneticPr fontId="6" type="noConversion"/>
  </si>
  <si>
    <t>公證簽名</t>
    <phoneticPr fontId="6" type="noConversion"/>
  </si>
  <si>
    <t>Sov 樣品</t>
    <phoneticPr fontId="6" type="noConversion"/>
  </si>
  <si>
    <t>2026/03/01–2026/03/31 汽油費</t>
    <phoneticPr fontId="6" type="noConversion"/>
  </si>
  <si>
    <t>yichang提供之工廠工具</t>
    <phoneticPr fontId="6" type="noConversion"/>
  </si>
  <si>
    <t>食物</t>
    <phoneticPr fontId="6" type="noConversion"/>
  </si>
  <si>
    <t>雜貨</t>
    <phoneticPr fontId="6" type="noConversion"/>
  </si>
  <si>
    <t>影印紙</t>
    <phoneticPr fontId="6" type="noConversion"/>
  </si>
  <si>
    <t>列印費</t>
    <phoneticPr fontId="6" type="noConversion"/>
  </si>
  <si>
    <t>CMR 工具</t>
    <phoneticPr fontId="6" type="noConversion"/>
  </si>
  <si>
    <t>高速公路費</t>
    <phoneticPr fontId="6" type="noConversion"/>
  </si>
  <si>
    <t>商務電話費</t>
    <phoneticPr fontId="6" type="noConversion"/>
  </si>
  <si>
    <t>sankar 3月車費</t>
    <phoneticPr fontId="6" type="noConversion"/>
  </si>
  <si>
    <t>kabir 3月車費</t>
    <phoneticPr fontId="6" type="noConversion"/>
  </si>
  <si>
    <t>godson 3月車費</t>
    <phoneticPr fontId="6" type="noConversion"/>
  </si>
  <si>
    <t>點心（堅果）</t>
    <phoneticPr fontId="6" type="noConversion"/>
  </si>
  <si>
    <t>yichang公寓用品</t>
    <phoneticPr fontId="6" type="noConversion"/>
  </si>
  <si>
    <t>3月工廠清潔人員費用</t>
    <phoneticPr fontId="6" type="noConversion"/>
  </si>
  <si>
    <t>落地式電視支架</t>
    <phoneticPr fontId="6" type="noConversion"/>
  </si>
  <si>
    <t>電力公司茶水費</t>
    <phoneticPr fontId="6" type="noConversion"/>
  </si>
  <si>
    <t>焊接機、管件、壓力表及其他工具</t>
    <phoneticPr fontId="6" type="noConversion"/>
  </si>
  <si>
    <t>後付費充值</t>
    <phoneticPr fontId="6" type="noConversion"/>
  </si>
  <si>
    <t>yichang工具</t>
    <phoneticPr fontId="6" type="noConversion"/>
  </si>
  <si>
    <t>便當盒、湯匙與叉子</t>
    <phoneticPr fontId="6" type="noConversion"/>
  </si>
  <si>
    <t>801宿舍電費</t>
    <phoneticPr fontId="6" type="noConversion"/>
  </si>
  <si>
    <t>冰箱與電視配送費</t>
    <phoneticPr fontId="6" type="noConversion"/>
  </si>
  <si>
    <t>交通費</t>
    <phoneticPr fontId="6" type="noConversion"/>
  </si>
  <si>
    <t>文件寄送至 Worldtrund</t>
    <phoneticPr fontId="6" type="noConversion"/>
  </si>
  <si>
    <t>購買水桶（20L）</t>
    <phoneticPr fontId="6" type="noConversion"/>
  </si>
  <si>
    <t>購買膠帶C</t>
    <phoneticPr fontId="6" type="noConversion"/>
  </si>
  <si>
    <t>購買工具</t>
    <phoneticPr fontId="6" type="noConversion"/>
  </si>
  <si>
    <t>寄送至銀行（哈里亞納）</t>
    <phoneticPr fontId="6" type="noConversion"/>
  </si>
  <si>
    <t>3月工廠清潔人員費用</t>
    <phoneticPr fontId="6" type="noConversion"/>
  </si>
  <si>
    <t>購買電氣材料</t>
    <phoneticPr fontId="6" type="noConversion"/>
  </si>
  <si>
    <t>購買蔬菜</t>
    <phoneticPr fontId="6" type="noConversion"/>
  </si>
  <si>
    <t>公寓 WiFi</t>
    <phoneticPr fontId="6" type="noConversion"/>
  </si>
  <si>
    <t>購買便當盒</t>
    <phoneticPr fontId="6" type="noConversion"/>
  </si>
  <si>
    <t>寄樣品給供應商</t>
    <phoneticPr fontId="6" type="noConversion"/>
  </si>
  <si>
    <t>購買電氣材料</t>
    <phoneticPr fontId="6" type="noConversion"/>
  </si>
  <si>
    <t>CQMS人員餐費（2人）</t>
    <phoneticPr fontId="6" type="noConversion"/>
  </si>
  <si>
    <t>TNEB 801 宿舍電費</t>
    <phoneticPr fontId="6" type="noConversion"/>
  </si>
  <si>
    <t>訂車（機場 → Prince）</t>
    <phoneticPr fontId="6" type="noConversion"/>
  </si>
  <si>
    <t>訂車（Prince → 機場）</t>
    <phoneticPr fontId="6" type="noConversion"/>
  </si>
  <si>
    <t>支援團隊用車</t>
    <phoneticPr fontId="6" type="noConversion"/>
  </si>
  <si>
    <t>支援團隊用車</t>
    <phoneticPr fontId="6" type="noConversion"/>
  </si>
  <si>
    <t>剪叉式升降機運費（Hunter → KST）</t>
    <phoneticPr fontId="6" type="noConversion"/>
  </si>
  <si>
    <t>HUNTER</t>
    <phoneticPr fontId="6" type="noConversion"/>
  </si>
  <si>
    <t>購買機油</t>
    <phoneticPr fontId="6" type="noConversion"/>
  </si>
  <si>
    <t>柴油（機器清洗）</t>
    <phoneticPr fontId="6" type="noConversion"/>
  </si>
  <si>
    <t>搬運費（Hunter → KST）</t>
    <phoneticPr fontId="6" type="noConversion"/>
  </si>
  <si>
    <t>卸貨司機及員工餐費（5人）</t>
    <phoneticPr fontId="6" type="noConversion"/>
  </si>
  <si>
    <t>訂車（Prince → 機場）</t>
    <phoneticPr fontId="6" type="noConversion"/>
  </si>
  <si>
    <t>訂車（Prince ↔ 工廠）</t>
    <phoneticPr fontId="6" type="noConversion"/>
  </si>
  <si>
    <t>支援團隊早餐</t>
    <phoneticPr fontId="6" type="noConversion"/>
  </si>
  <si>
    <t>員工餐費（4人）</t>
    <phoneticPr fontId="6" type="noConversion"/>
  </si>
  <si>
    <t>工廠清潔工資（3人）</t>
    <phoneticPr fontId="6" type="noConversion"/>
  </si>
  <si>
    <t>派拉蒙來回公司及宿舍費用(洪處、佐霖)</t>
    <phoneticPr fontId="6" type="noConversion"/>
  </si>
  <si>
    <t>A.1</t>
    <phoneticPr fontId="6" type="noConversion"/>
  </si>
  <si>
    <t>SHOPPERS STOP</t>
    <phoneticPr fontId="6" type="noConversion"/>
  </si>
  <si>
    <t>鍋子、玻璃瓶、馬克杯等</t>
    <phoneticPr fontId="6" type="noConversion"/>
  </si>
  <si>
    <t>SMART BAZAAR</t>
    <phoneticPr fontId="6" type="noConversion"/>
  </si>
  <si>
    <t>電磁爐、刀具、杯子、飲料、洗衣精等</t>
    <phoneticPr fontId="6" type="noConversion"/>
  </si>
  <si>
    <t>未結餘額</t>
    <phoneticPr fontId="6" type="noConversion"/>
  </si>
  <si>
    <t>總費用</t>
    <phoneticPr fontId="6" type="noConversion"/>
  </si>
  <si>
    <t>現金餘額</t>
    <phoneticPr fontId="6" type="noConversion"/>
  </si>
  <si>
    <t>C</t>
    <phoneticPr fontId="6" type="noConversion"/>
  </si>
  <si>
    <t xml:space="preserve">Supplier Name </t>
    <phoneticPr fontId="6" type="noConversion"/>
  </si>
  <si>
    <t>編號</t>
    <phoneticPr fontId="6" type="noConversion"/>
  </si>
  <si>
    <t>A-01</t>
    <phoneticPr fontId="6" type="noConversion"/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</si>
  <si>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</si>
  <si>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</si>
  <si>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</si>
  <si>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</si>
  <si>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</si>
  <si>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</si>
  <si>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</si>
  <si>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</si>
  <si>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</si>
  <si>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</si>
  <si>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</si>
  <si>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</si>
  <si>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</si>
  <si>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</si>
  <si>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</si>
  <si>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</si>
  <si>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</si>
  <si>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</si>
  <si>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</si>
  <si>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</si>
  <si>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</si>
  <si>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</si>
  <si>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</si>
  <si>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</si>
  <si>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</si>
  <si>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</si>
  <si>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</si>
  <si>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</si>
  <si>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</si>
  <si>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</si>
  <si>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</si>
  <si>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</si>
  <si>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</si>
  <si>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</si>
  <si>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</si>
  <si>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</si>
  <si>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</si>
  <si>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</si>
  <si>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</si>
  <si>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</si>
  <si>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</si>
  <si>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</si>
  <si>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A-44</t>
  </si>
  <si>
    <t>A-45</t>
  </si>
  <si>
    <t>A-46</t>
  </si>
  <si>
    <t>A-47</t>
  </si>
  <si>
    <t>A-48</t>
  </si>
  <si>
    <t>A-49</t>
  </si>
  <si>
    <t>A-50</t>
  </si>
  <si>
    <t>A-51</t>
  </si>
  <si>
    <t>A-52</t>
  </si>
  <si>
    <t>202宿舍飲用水</t>
    <phoneticPr fontId="6" type="noConversion"/>
  </si>
  <si>
    <t>D-MART</t>
    <phoneticPr fontId="6" type="noConversion"/>
  </si>
  <si>
    <t>DHL</t>
    <phoneticPr fontId="6" type="noConversion"/>
  </si>
  <si>
    <t>802及202宿舍五金配件及零食</t>
    <phoneticPr fontId="6" type="noConversion"/>
  </si>
  <si>
    <t>泰國寄伺服連接板到印度關稅</t>
    <phoneticPr fontId="6" type="noConversion"/>
  </si>
  <si>
    <t>補</t>
    <phoneticPr fontId="6" type="noConversion"/>
  </si>
  <si>
    <t>小巴士</t>
    <phoneticPr fontId="6" type="noConversion"/>
  </si>
  <si>
    <t>機場接機(洪處、大餅、等5位)</t>
    <phoneticPr fontId="6" type="noConversion"/>
  </si>
  <si>
    <t>cmr拿零件</t>
    <phoneticPr fontId="6" type="noConversion"/>
  </si>
  <si>
    <t>列標籤</t>
  </si>
  <si>
    <t>(空白)</t>
  </si>
  <si>
    <t>總計</t>
  </si>
  <si>
    <t>欄標籤</t>
  </si>
  <si>
    <t>加總 - Outgoing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</si>
</sst>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76" formatCode="_-* #,##0_-;\-* #,##0_-;_-* &quot;-&quot;??_-;_-@_-"/>
    <numFmt numFmtId="177" formatCode="[$-409]dd\-mmm\-yy;@"/>
  </numFmts>
  <fonts count="30" x14ac:knownFonts="1">
    <font>
      <sz val="11"/>
      <color theme="1"/>
      <name val="新細明體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name val="細明體"/>
      <family val="3"/>
      <charset val="136"/>
    </font>
    <font>
      <b/>
      <sz val="11"/>
      <name val="Arial"/>
      <family val="2"/>
    </font>
    <font>
      <sz val="12"/>
      <name val="Arial"/>
      <family val="2"/>
    </font>
    <font>
      <sz val="11"/>
      <name val="新細明體"/>
      <family val="2"/>
      <scheme val="minor"/>
    </font>
    <font>
      <b/>
      <sz val="11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1"/>
      <color rgb="FFFF0000"/>
      <name val="新細明體"/>
      <family val="2"/>
      <scheme val="minor"/>
    </font>
    <font>
      <b/>
      <sz val="11"/>
      <color rgb="FFFF0000"/>
      <name val="新細明體"/>
      <family val="1"/>
      <charset val="136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1"/>
      <name val="細明體"/>
      <family val="3"/>
      <charset val="136"/>
    </font>
    <font>
      <sz val="11"/>
      <color rgb="FFFF0000"/>
      <name val="新細明體"/>
      <family val="1"/>
      <charset val="136"/>
      <scheme val="minor"/>
    </font>
    <font>
      <b/>
      <sz val="10"/>
      <color theme="1"/>
      <name val="微軟正黑體"/>
      <family val="2"/>
      <charset val="136"/>
    </font>
    <font>
      <sz val="12"/>
      <name val="細明體"/>
      <family val="3"/>
      <charset val="136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>
      <alignment vertical="center"/>
    </xf>
  </cellStyleXfs>
  <cellXfs count="244">
    <xf numFmtId="0" fontId="0" fillId="0" borderId="0" xfId="0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14" fontId="3" fillId="0" borderId="9" xfId="0" applyNumberFormat="1" applyFont="1" applyBorder="1" applyAlignment="1">
      <alignment horizontal="left"/>
    </xf>
    <xf numFmtId="0" fontId="3" fillId="0" borderId="9" xfId="0" applyFont="1" applyBorder="1"/>
    <xf numFmtId="2" fontId="3" fillId="0" borderId="9" xfId="0" applyNumberFormat="1" applyFont="1" applyBorder="1"/>
    <xf numFmtId="14" fontId="3" fillId="3" borderId="9" xfId="0" applyNumberFormat="1" applyFont="1" applyFill="1" applyBorder="1" applyAlignment="1">
      <alignment horizontal="left"/>
    </xf>
    <xf numFmtId="0" fontId="3" fillId="3" borderId="9" xfId="0" applyFont="1" applyFill="1" applyBorder="1"/>
    <xf numFmtId="2" fontId="3" fillId="3" borderId="9" xfId="0" applyNumberFormat="1" applyFont="1" applyFill="1" applyBorder="1"/>
    <xf numFmtId="2" fontId="2" fillId="2" borderId="0" xfId="0" applyNumberFormat="1" applyFont="1" applyFill="1"/>
    <xf numFmtId="2" fontId="2" fillId="4" borderId="6" xfId="0" applyNumberFormat="1" applyFont="1" applyFill="1" applyBorder="1"/>
    <xf numFmtId="17" fontId="2" fillId="0" borderId="0" xfId="0" applyNumberFormat="1" applyFont="1" applyBorder="1" applyAlignment="1">
      <alignment horizontal="center"/>
    </xf>
    <xf numFmtId="2" fontId="4" fillId="3" borderId="9" xfId="0" applyNumberFormat="1" applyFont="1" applyFill="1" applyBorder="1"/>
    <xf numFmtId="2" fontId="4" fillId="0" borderId="9" xfId="0" applyNumberFormat="1" applyFont="1" applyBorder="1"/>
    <xf numFmtId="0" fontId="0" fillId="0" borderId="9" xfId="0" applyBorder="1"/>
    <xf numFmtId="2" fontId="0" fillId="0" borderId="0" xfId="0" applyNumberFormat="1"/>
    <xf numFmtId="0" fontId="4" fillId="0" borderId="0" xfId="0" applyFont="1"/>
    <xf numFmtId="0" fontId="4" fillId="0" borderId="9" xfId="0" applyFont="1" applyBorder="1"/>
    <xf numFmtId="2" fontId="3" fillId="5" borderId="9" xfId="0" applyNumberFormat="1" applyFont="1" applyFill="1" applyBorder="1"/>
    <xf numFmtId="2" fontId="3" fillId="6" borderId="9" xfId="0" applyNumberFormat="1" applyFont="1" applyFill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2" fontId="3" fillId="7" borderId="9" xfId="0" applyNumberFormat="1" applyFont="1" applyFill="1" applyBorder="1"/>
    <xf numFmtId="2" fontId="3" fillId="0" borderId="9" xfId="0" applyNumberFormat="1" applyFont="1" applyFill="1" applyBorder="1"/>
    <xf numFmtId="0" fontId="3" fillId="8" borderId="9" xfId="0" applyFont="1" applyFill="1" applyBorder="1"/>
    <xf numFmtId="0" fontId="3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2" fillId="0" borderId="0" xfId="0" applyFont="1" applyAlignment="1">
      <alignment horizontal="right"/>
    </xf>
    <xf numFmtId="14" fontId="3" fillId="9" borderId="9" xfId="0" applyNumberFormat="1" applyFont="1" applyFill="1" applyBorder="1" applyAlignment="1">
      <alignment horizontal="left"/>
    </xf>
    <xf numFmtId="0" fontId="3" fillId="9" borderId="9" xfId="0" applyFont="1" applyFill="1" applyBorder="1"/>
    <xf numFmtId="2" fontId="3" fillId="9" borderId="9" xfId="0" applyNumberFormat="1" applyFont="1" applyFill="1" applyBorder="1"/>
    <xf numFmtId="2" fontId="5" fillId="10" borderId="9" xfId="0" applyNumberFormat="1" applyFont="1" applyFill="1" applyBorder="1"/>
    <xf numFmtId="2" fontId="3" fillId="11" borderId="9" xfId="0" applyNumberFormat="1" applyFont="1" applyFill="1" applyBorder="1"/>
    <xf numFmtId="0" fontId="0" fillId="12" borderId="0" xfId="0" applyFill="1"/>
    <xf numFmtId="14" fontId="3" fillId="12" borderId="9" xfId="0" applyNumberFormat="1" applyFont="1" applyFill="1" applyBorder="1" applyAlignment="1">
      <alignment horizontal="left"/>
    </xf>
    <xf numFmtId="0" fontId="3" fillId="12" borderId="9" xfId="0" applyFont="1" applyFill="1" applyBorder="1"/>
    <xf numFmtId="2" fontId="3" fillId="12" borderId="9" xfId="0" applyNumberFormat="1" applyFont="1" applyFill="1" applyBorder="1"/>
    <xf numFmtId="0" fontId="0" fillId="13" borderId="0" xfId="0" applyFill="1"/>
    <xf numFmtId="14" fontId="3" fillId="13" borderId="9" xfId="0" applyNumberFormat="1" applyFont="1" applyFill="1" applyBorder="1" applyAlignment="1">
      <alignment horizontal="left"/>
    </xf>
    <xf numFmtId="0" fontId="3" fillId="13" borderId="9" xfId="0" applyFont="1" applyFill="1" applyBorder="1"/>
    <xf numFmtId="2" fontId="3" fillId="13" borderId="9" xfId="0" applyNumberFormat="1" applyFont="1" applyFill="1" applyBorder="1"/>
    <xf numFmtId="2" fontId="5" fillId="13" borderId="9" xfId="0" applyNumberFormat="1" applyFont="1" applyFill="1" applyBorder="1"/>
    <xf numFmtId="2" fontId="4" fillId="13" borderId="9" xfId="0" applyNumberFormat="1" applyFont="1" applyFill="1" applyBorder="1"/>
    <xf numFmtId="15" fontId="0" fillId="0" borderId="0" xfId="0" applyNumberFormat="1"/>
    <xf numFmtId="14" fontId="3" fillId="0" borderId="9" xfId="0" applyNumberFormat="1" applyFont="1" applyFill="1" applyBorder="1" applyAlignment="1">
      <alignment horizontal="left"/>
    </xf>
    <xf numFmtId="0" fontId="3" fillId="0" borderId="9" xfId="0" applyFont="1" applyFill="1" applyBorder="1"/>
    <xf numFmtId="2" fontId="5" fillId="0" borderId="9" xfId="0" applyNumberFormat="1" applyFont="1" applyFill="1" applyBorder="1"/>
    <xf numFmtId="176" fontId="8" fillId="0" borderId="0" xfId="1" applyNumberFormat="1" applyFont="1" applyAlignment="1"/>
    <xf numFmtId="14" fontId="3" fillId="0" borderId="11" xfId="0" applyNumberFormat="1" applyFont="1" applyFill="1" applyBorder="1" applyAlignment="1">
      <alignment horizontal="left"/>
    </xf>
    <xf numFmtId="0" fontId="8" fillId="13" borderId="0" xfId="0" applyFont="1" applyFill="1" applyAlignment="1">
      <alignment horizontal="center"/>
    </xf>
    <xf numFmtId="14" fontId="3" fillId="0" borderId="10" xfId="0" applyNumberFormat="1" applyFont="1" applyFill="1" applyBorder="1" applyAlignment="1">
      <alignment horizontal="left"/>
    </xf>
    <xf numFmtId="0" fontId="4" fillId="0" borderId="9" xfId="0" applyFont="1" applyFill="1" applyBorder="1"/>
    <xf numFmtId="0" fontId="0" fillId="0" borderId="9" xfId="0" applyFill="1" applyBorder="1"/>
    <xf numFmtId="0" fontId="0" fillId="0" borderId="0" xfId="0" applyFill="1"/>
    <xf numFmtId="0" fontId="9" fillId="0" borderId="9" xfId="0" applyFont="1" applyFill="1" applyBorder="1"/>
    <xf numFmtId="0" fontId="10" fillId="0" borderId="9" xfId="0" applyFont="1" applyFill="1" applyBorder="1"/>
    <xf numFmtId="0" fontId="2" fillId="0" borderId="9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/>
    <xf numFmtId="1" fontId="3" fillId="12" borderId="1" xfId="0" applyNumberFormat="1" applyFont="1" applyFill="1" applyBorder="1"/>
    <xf numFmtId="1" fontId="3" fillId="0" borderId="1" xfId="0" applyNumberFormat="1" applyFont="1" applyFill="1" applyBorder="1"/>
    <xf numFmtId="1" fontId="3" fillId="13" borderId="1" xfId="0" applyNumberFormat="1" applyFont="1" applyFill="1" applyBorder="1"/>
    <xf numFmtId="1" fontId="3" fillId="9" borderId="1" xfId="0" applyNumberFormat="1" applyFont="1" applyFill="1" applyBorder="1"/>
    <xf numFmtId="0" fontId="0" fillId="0" borderId="9" xfId="0" applyBorder="1" applyAlignment="1">
      <alignment vertical="center"/>
    </xf>
    <xf numFmtId="0" fontId="0" fillId="0" borderId="0" xfId="0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11" fillId="0" borderId="9" xfId="0" applyFont="1" applyBorder="1" applyAlignment="1">
      <alignment horizontal="left"/>
    </xf>
    <xf numFmtId="14" fontId="0" fillId="0" borderId="9" xfId="0" applyNumberFormat="1" applyBorder="1" applyAlignment="1">
      <alignment horizontal="left"/>
    </xf>
    <xf numFmtId="0" fontId="0" fillId="16" borderId="9" xfId="0" applyFill="1" applyBorder="1"/>
    <xf numFmtId="0" fontId="2" fillId="16" borderId="9" xfId="0" applyFont="1" applyFill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11" fillId="3" borderId="9" xfId="0" applyFont="1" applyFill="1" applyBorder="1" applyAlignment="1">
      <alignment horizontal="right"/>
    </xf>
    <xf numFmtId="0" fontId="11" fillId="5" borderId="9" xfId="0" applyFont="1" applyFill="1" applyBorder="1" applyAlignment="1">
      <alignment horizontal="right"/>
    </xf>
    <xf numFmtId="0" fontId="0" fillId="0" borderId="9" xfId="0" quotePrefix="1" applyBorder="1"/>
    <xf numFmtId="14" fontId="0" fillId="0" borderId="9" xfId="0" quotePrefix="1" applyNumberFormat="1" applyBorder="1"/>
    <xf numFmtId="2" fontId="3" fillId="11" borderId="9" xfId="0" applyNumberFormat="1" applyFont="1" applyFill="1" applyBorder="1" applyAlignment="1">
      <alignment horizontal="left"/>
    </xf>
    <xf numFmtId="0" fontId="2" fillId="0" borderId="0" xfId="0" applyFont="1" applyAlignment="1">
      <alignment horizontal="right"/>
    </xf>
    <xf numFmtId="17" fontId="2" fillId="0" borderId="0" xfId="0" applyNumberFormat="1" applyFont="1" applyBorder="1" applyAlignment="1">
      <alignment horizontal="center"/>
    </xf>
    <xf numFmtId="0" fontId="2" fillId="0" borderId="9" xfId="0" applyFont="1" applyFill="1" applyBorder="1" applyAlignment="1">
      <alignment horizontal="right"/>
    </xf>
    <xf numFmtId="0" fontId="11" fillId="0" borderId="9" xfId="0" applyFont="1" applyFill="1" applyBorder="1" applyAlignment="1">
      <alignment horizontal="left"/>
    </xf>
    <xf numFmtId="0" fontId="2" fillId="0" borderId="0" xfId="0" applyFont="1" applyFill="1" applyAlignment="1">
      <alignment horizontal="right"/>
    </xf>
    <xf numFmtId="0" fontId="12" fillId="0" borderId="0" xfId="0" applyFont="1" applyFill="1"/>
    <xf numFmtId="0" fontId="12" fillId="0" borderId="9" xfId="0" applyFont="1" applyFill="1" applyBorder="1"/>
    <xf numFmtId="15" fontId="12" fillId="0" borderId="0" xfId="0" applyNumberFormat="1" applyFont="1" applyFill="1"/>
    <xf numFmtId="0" fontId="0" fillId="0" borderId="0" xfId="0" applyAlignment="1">
      <alignment horizontal="center"/>
    </xf>
    <xf numFmtId="2" fontId="3" fillId="3" borderId="9" xfId="0" applyNumberFormat="1" applyFont="1" applyFill="1" applyBorder="1" applyAlignment="1">
      <alignment horizontal="center"/>
    </xf>
    <xf numFmtId="2" fontId="3" fillId="0" borderId="9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9" xfId="0" applyFont="1" applyFill="1" applyBorder="1" applyAlignment="1">
      <alignment horizontal="center"/>
    </xf>
    <xf numFmtId="176" fontId="0" fillId="0" borderId="0" xfId="1" applyNumberFormat="1" applyFont="1" applyAlignment="1"/>
    <xf numFmtId="176" fontId="0" fillId="0" borderId="6" xfId="1" applyNumberFormat="1" applyFont="1" applyBorder="1" applyAlignment="1"/>
    <xf numFmtId="176" fontId="2" fillId="0" borderId="9" xfId="1" applyNumberFormat="1" applyFont="1" applyBorder="1" applyAlignment="1">
      <alignment horizontal="center" vertical="center"/>
    </xf>
    <xf numFmtId="176" fontId="11" fillId="13" borderId="9" xfId="1" applyNumberFormat="1" applyFont="1" applyFill="1" applyBorder="1" applyAlignment="1">
      <alignment horizontal="right"/>
    </xf>
    <xf numFmtId="177" fontId="0" fillId="0" borderId="4" xfId="0" applyNumberFormat="1" applyBorder="1" applyAlignment="1">
      <alignment horizontal="center"/>
    </xf>
    <xf numFmtId="177" fontId="2" fillId="0" borderId="4" xfId="0" applyNumberFormat="1" applyFont="1" applyBorder="1" applyAlignment="1">
      <alignment horizontal="center"/>
    </xf>
    <xf numFmtId="177" fontId="0" fillId="0" borderId="7" xfId="0" applyNumberFormat="1" applyBorder="1" applyAlignment="1">
      <alignment horizontal="center"/>
    </xf>
    <xf numFmtId="177" fontId="2" fillId="0" borderId="9" xfId="0" applyNumberFormat="1" applyFont="1" applyBorder="1" applyAlignment="1">
      <alignment horizontal="center" vertical="center" wrapText="1"/>
    </xf>
    <xf numFmtId="177" fontId="3" fillId="3" borderId="9" xfId="0" applyNumberFormat="1" applyFont="1" applyFill="1" applyBorder="1" applyAlignment="1">
      <alignment horizontal="center"/>
    </xf>
    <xf numFmtId="177" fontId="3" fillId="0" borderId="9" xfId="0" applyNumberFormat="1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0" fontId="14" fillId="0" borderId="9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2" fontId="15" fillId="0" borderId="9" xfId="0" applyNumberFormat="1" applyFont="1" applyBorder="1" applyAlignment="1">
      <alignment horizontal="center"/>
    </xf>
    <xf numFmtId="176" fontId="16" fillId="13" borderId="9" xfId="1" applyNumberFormat="1" applyFont="1" applyFill="1" applyBorder="1" applyAlignment="1"/>
    <xf numFmtId="176" fontId="0" fillId="0" borderId="0" xfId="0" applyNumberFormat="1"/>
    <xf numFmtId="177" fontId="5" fillId="0" borderId="9" xfId="0" applyNumberFormat="1" applyFont="1" applyFill="1" applyBorder="1" applyAlignment="1">
      <alignment horizontal="center"/>
    </xf>
    <xf numFmtId="0" fontId="18" fillId="0" borderId="9" xfId="0" applyFont="1" applyFill="1" applyBorder="1" applyAlignment="1">
      <alignment horizontal="left"/>
    </xf>
    <xf numFmtId="0" fontId="2" fillId="0" borderId="0" xfId="0" applyFont="1" applyFill="1" applyAlignment="1">
      <alignment horizontal="right"/>
    </xf>
    <xf numFmtId="0" fontId="19" fillId="0" borderId="0" xfId="0" applyFont="1"/>
    <xf numFmtId="176" fontId="19" fillId="0" borderId="0" xfId="0" applyNumberFormat="1" applyFont="1"/>
    <xf numFmtId="176" fontId="0" fillId="0" borderId="5" xfId="1" applyNumberFormat="1" applyFont="1" applyBorder="1" applyAlignment="1"/>
    <xf numFmtId="176" fontId="0" fillId="0" borderId="8" xfId="1" applyNumberFormat="1" applyFont="1" applyBorder="1" applyAlignment="1"/>
    <xf numFmtId="176" fontId="2" fillId="0" borderId="1" xfId="1" applyNumberFormat="1" applyFont="1" applyBorder="1" applyAlignment="1">
      <alignment horizontal="center" vertical="center"/>
    </xf>
    <xf numFmtId="176" fontId="3" fillId="0" borderId="1" xfId="1" applyNumberFormat="1" applyFont="1" applyBorder="1" applyAlignment="1"/>
    <xf numFmtId="176" fontId="5" fillId="13" borderId="1" xfId="1" applyNumberFormat="1" applyFont="1" applyFill="1" applyBorder="1" applyAlignment="1"/>
    <xf numFmtId="176" fontId="20" fillId="13" borderId="0" xfId="1" applyNumberFormat="1" applyFont="1" applyFill="1" applyAlignment="1"/>
    <xf numFmtId="0" fontId="0" fillId="0" borderId="0" xfId="0" applyFill="1" applyAlignment="1">
      <alignment horizontal="center"/>
    </xf>
    <xf numFmtId="0" fontId="0" fillId="0" borderId="6" xfId="0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/>
    </xf>
    <xf numFmtId="0" fontId="12" fillId="0" borderId="0" xfId="0" applyFont="1"/>
    <xf numFmtId="176" fontId="12" fillId="0" borderId="0" xfId="0" applyNumberFormat="1" applyFont="1"/>
    <xf numFmtId="2" fontId="3" fillId="17" borderId="9" xfId="0" applyNumberFormat="1" applyFont="1" applyFill="1" applyBorder="1"/>
    <xf numFmtId="2" fontId="15" fillId="0" borderId="9" xfId="0" applyNumberFormat="1" applyFont="1" applyFill="1" applyBorder="1" applyAlignment="1">
      <alignment horizontal="center"/>
    </xf>
    <xf numFmtId="176" fontId="3" fillId="18" borderId="9" xfId="1" applyNumberFormat="1" applyFont="1" applyFill="1" applyBorder="1" applyAlignment="1"/>
    <xf numFmtId="176" fontId="18" fillId="18" borderId="9" xfId="1" applyNumberFormat="1" applyFont="1" applyFill="1" applyBorder="1" applyAlignment="1">
      <alignment horizontal="right"/>
    </xf>
    <xf numFmtId="176" fontId="11" fillId="18" borderId="9" xfId="1" applyNumberFormat="1" applyFont="1" applyFill="1" applyBorder="1" applyAlignment="1">
      <alignment horizontal="right"/>
    </xf>
    <xf numFmtId="0" fontId="11" fillId="0" borderId="9" xfId="0" applyFont="1" applyFill="1" applyBorder="1" applyAlignment="1">
      <alignment horizontal="center"/>
    </xf>
    <xf numFmtId="176" fontId="2" fillId="18" borderId="9" xfId="1" applyNumberFormat="1" applyFont="1" applyFill="1" applyBorder="1" applyAlignment="1">
      <alignment horizontal="right"/>
    </xf>
    <xf numFmtId="176" fontId="17" fillId="18" borderId="9" xfId="1" applyNumberFormat="1" applyFont="1" applyFill="1" applyBorder="1" applyAlignment="1">
      <alignment horizontal="right"/>
    </xf>
    <xf numFmtId="176" fontId="15" fillId="18" borderId="9" xfId="1" applyNumberFormat="1" applyFont="1" applyFill="1" applyBorder="1" applyAlignment="1">
      <alignment horizontal="right"/>
    </xf>
    <xf numFmtId="176" fontId="15" fillId="3" borderId="9" xfId="1" applyNumberFormat="1" applyFont="1" applyFill="1" applyBorder="1" applyAlignment="1">
      <alignment horizontal="right"/>
    </xf>
    <xf numFmtId="2" fontId="0" fillId="13" borderId="9" xfId="0" applyNumberFormat="1" applyFill="1" applyBorder="1" applyAlignment="1">
      <alignment horizontal="center" vertical="center"/>
    </xf>
    <xf numFmtId="176" fontId="3" fillId="0" borderId="9" xfId="1" applyNumberFormat="1" applyFont="1" applyBorder="1" applyAlignment="1"/>
    <xf numFmtId="176" fontId="2" fillId="4" borderId="23" xfId="1" applyNumberFormat="1" applyFont="1" applyFill="1" applyBorder="1" applyAlignment="1"/>
    <xf numFmtId="176" fontId="15" fillId="0" borderId="12" xfId="1" applyNumberFormat="1" applyFont="1" applyFill="1" applyBorder="1" applyAlignment="1">
      <alignment horizontal="right"/>
    </xf>
    <xf numFmtId="176" fontId="16" fillId="13" borderId="12" xfId="1" applyNumberFormat="1" applyFont="1" applyFill="1" applyBorder="1" applyAlignment="1"/>
    <xf numFmtId="0" fontId="0" fillId="0" borderId="6" xfId="0" applyBorder="1" applyAlignment="1">
      <alignment horizontal="center"/>
    </xf>
    <xf numFmtId="177" fontId="10" fillId="0" borderId="9" xfId="0" applyNumberFormat="1" applyFont="1" applyFill="1" applyBorder="1" applyAlignment="1">
      <alignment horizontal="center"/>
    </xf>
    <xf numFmtId="176" fontId="15" fillId="16" borderId="9" xfId="1" applyNumberFormat="1" applyFont="1" applyFill="1" applyBorder="1" applyAlignment="1">
      <alignment horizontal="right"/>
    </xf>
    <xf numFmtId="176" fontId="18" fillId="16" borderId="9" xfId="1" applyNumberFormat="1" applyFont="1" applyFill="1" applyBorder="1" applyAlignment="1">
      <alignment horizontal="right"/>
    </xf>
    <xf numFmtId="176" fontId="11" fillId="16" borderId="9" xfId="1" applyNumberFormat="1" applyFont="1" applyFill="1" applyBorder="1" applyAlignment="1">
      <alignment horizontal="right"/>
    </xf>
    <xf numFmtId="2" fontId="3" fillId="16" borderId="9" xfId="0" applyNumberFormat="1" applyFont="1" applyFill="1" applyBorder="1"/>
    <xf numFmtId="176" fontId="3" fillId="16" borderId="9" xfId="1" applyNumberFormat="1" applyFont="1" applyFill="1" applyBorder="1" applyAlignment="1"/>
    <xf numFmtId="43" fontId="11" fillId="0" borderId="9" xfId="1" applyFont="1" applyFill="1" applyBorder="1" applyAlignment="1">
      <alignment horizontal="left"/>
    </xf>
    <xf numFmtId="16" fontId="8" fillId="13" borderId="0" xfId="0" applyNumberFormat="1" applyFont="1" applyFill="1" applyAlignment="1">
      <alignment horizontal="center"/>
    </xf>
    <xf numFmtId="176" fontId="15" fillId="0" borderId="9" xfId="1" applyNumberFormat="1" applyFont="1" applyFill="1" applyBorder="1" applyAlignment="1">
      <alignment horizontal="right"/>
    </xf>
    <xf numFmtId="176" fontId="3" fillId="0" borderId="0" xfId="1" applyNumberFormat="1" applyFont="1" applyBorder="1" applyAlignment="1"/>
    <xf numFmtId="176" fontId="2" fillId="13" borderId="12" xfId="1" applyNumberFormat="1" applyFont="1" applyFill="1" applyBorder="1" applyAlignment="1">
      <alignment horizontal="right"/>
    </xf>
    <xf numFmtId="43" fontId="0" fillId="0" borderId="0" xfId="1" applyFont="1" applyAlignment="1"/>
    <xf numFmtId="176" fontId="15" fillId="19" borderId="9" xfId="1" applyNumberFormat="1" applyFont="1" applyFill="1" applyBorder="1" applyAlignment="1">
      <alignment horizontal="right"/>
    </xf>
    <xf numFmtId="176" fontId="15" fillId="13" borderId="9" xfId="1" applyNumberFormat="1" applyFont="1" applyFill="1" applyBorder="1" applyAlignment="1">
      <alignment horizontal="right"/>
    </xf>
    <xf numFmtId="0" fontId="0" fillId="0" borderId="0" xfId="0" applyFont="1"/>
    <xf numFmtId="176" fontId="21" fillId="0" borderId="0" xfId="1" applyNumberFormat="1" applyFont="1" applyAlignment="1"/>
    <xf numFmtId="2" fontId="0" fillId="13" borderId="9" xfId="0" applyNumberFormat="1" applyFont="1" applyFill="1" applyBorder="1" applyAlignment="1">
      <alignment horizontal="center" vertical="center"/>
    </xf>
    <xf numFmtId="176" fontId="11" fillId="0" borderId="9" xfId="1" applyNumberFormat="1" applyFont="1" applyFill="1" applyBorder="1" applyAlignment="1">
      <alignment horizontal="right"/>
    </xf>
    <xf numFmtId="176" fontId="0" fillId="0" borderId="0" xfId="0" applyNumberFormat="1" applyFont="1"/>
    <xf numFmtId="0" fontId="11" fillId="0" borderId="9" xfId="0" applyFont="1" applyFill="1" applyBorder="1" applyAlignment="1">
      <alignment horizontal="right"/>
    </xf>
    <xf numFmtId="0" fontId="22" fillId="0" borderId="9" xfId="0" applyFont="1" applyBorder="1" applyAlignment="1">
      <alignment horizontal="left"/>
    </xf>
    <xf numFmtId="176" fontId="23" fillId="19" borderId="9" xfId="1" applyNumberFormat="1" applyFont="1" applyFill="1" applyBorder="1" applyAlignment="1">
      <alignment horizontal="right"/>
    </xf>
    <xf numFmtId="0" fontId="24" fillId="0" borderId="9" xfId="0" applyFont="1" applyBorder="1" applyAlignment="1">
      <alignment horizontal="left"/>
    </xf>
    <xf numFmtId="43" fontId="7" fillId="0" borderId="0" xfId="1" applyFont="1" applyAlignment="1"/>
    <xf numFmtId="176" fontId="12" fillId="0" borderId="0" xfId="1" applyNumberFormat="1" applyFont="1" applyFill="1" applyAlignment="1"/>
    <xf numFmtId="176" fontId="3" fillId="0" borderId="9" xfId="1" applyNumberFormat="1" applyFont="1" applyFill="1" applyBorder="1" applyAlignment="1"/>
    <xf numFmtId="176" fontId="23" fillId="0" borderId="9" xfId="1" applyNumberFormat="1" applyFont="1" applyFill="1" applyBorder="1" applyAlignment="1">
      <alignment horizontal="right"/>
    </xf>
    <xf numFmtId="0" fontId="11" fillId="0" borderId="24" xfId="0" applyFont="1" applyFill="1" applyBorder="1" applyAlignment="1">
      <alignment horizontal="center"/>
    </xf>
    <xf numFmtId="176" fontId="5" fillId="13" borderId="9" xfId="1" applyNumberFormat="1" applyFont="1" applyFill="1" applyBorder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9" xfId="0" applyFont="1" applyBorder="1" applyAlignment="1">
      <alignment horizontal="center"/>
    </xf>
    <xf numFmtId="177" fontId="11" fillId="0" borderId="9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176" fontId="11" fillId="0" borderId="9" xfId="1" applyNumberFormat="1" applyFont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16" fontId="25" fillId="13" borderId="9" xfId="0" applyNumberFormat="1" applyFont="1" applyFill="1" applyBorder="1" applyAlignment="1">
      <alignment horizontal="center"/>
    </xf>
    <xf numFmtId="2" fontId="0" fillId="0" borderId="9" xfId="0" applyNumberFormat="1" applyFont="1" applyBorder="1" applyAlignment="1">
      <alignment horizontal="center" vertical="center"/>
    </xf>
    <xf numFmtId="2" fontId="0" fillId="0" borderId="0" xfId="0" applyNumberFormat="1" applyFont="1"/>
    <xf numFmtId="2" fontId="23" fillId="0" borderId="9" xfId="0" applyNumberFormat="1" applyFont="1" applyFill="1" applyBorder="1" applyAlignment="1">
      <alignment horizontal="center"/>
    </xf>
    <xf numFmtId="0" fontId="26" fillId="0" borderId="9" xfId="0" applyFont="1" applyFill="1" applyBorder="1"/>
    <xf numFmtId="2" fontId="23" fillId="0" borderId="9" xfId="0" applyNumberFormat="1" applyFont="1" applyBorder="1" applyAlignment="1">
      <alignment horizontal="center"/>
    </xf>
    <xf numFmtId="176" fontId="27" fillId="13" borderId="9" xfId="1" applyNumberFormat="1" applyFont="1" applyFill="1" applyBorder="1" applyAlignment="1"/>
    <xf numFmtId="177" fontId="0" fillId="0" borderId="0" xfId="0" applyNumberFormat="1" applyFont="1" applyAlignment="1">
      <alignment horizontal="center"/>
    </xf>
    <xf numFmtId="0" fontId="11" fillId="0" borderId="0" xfId="0" applyFont="1" applyFill="1" applyAlignment="1">
      <alignment horizontal="right"/>
    </xf>
    <xf numFmtId="176" fontId="23" fillId="0" borderId="24" xfId="1" applyNumberFormat="1" applyFont="1" applyFill="1" applyBorder="1" applyAlignment="1">
      <alignment horizontal="right"/>
    </xf>
    <xf numFmtId="0" fontId="11" fillId="0" borderId="0" xfId="0" applyFont="1" applyFill="1" applyAlignment="1">
      <alignment horizontal="center"/>
    </xf>
    <xf numFmtId="176" fontId="11" fillId="0" borderId="12" xfId="1" applyNumberFormat="1" applyFont="1" applyFill="1" applyBorder="1" applyAlignment="1">
      <alignment horizontal="right"/>
    </xf>
    <xf numFmtId="176" fontId="11" fillId="0" borderId="21" xfId="1" applyNumberFormat="1" applyFont="1" applyFill="1" applyBorder="1" applyAlignment="1"/>
    <xf numFmtId="176" fontId="5" fillId="13" borderId="12" xfId="1" applyNumberFormat="1" applyFont="1" applyFill="1" applyBorder="1" applyAlignment="1"/>
    <xf numFmtId="176" fontId="11" fillId="0" borderId="15" xfId="1" applyNumberFormat="1" applyFont="1" applyFill="1" applyBorder="1" applyAlignment="1"/>
    <xf numFmtId="176" fontId="23" fillId="0" borderId="12" xfId="1" applyNumberFormat="1" applyFont="1" applyFill="1" applyBorder="1" applyAlignment="1">
      <alignment horizontal="right"/>
    </xf>
    <xf numFmtId="176" fontId="11" fillId="0" borderId="18" xfId="1" applyNumberFormat="1" applyFont="1" applyFill="1" applyBorder="1" applyAlignment="1"/>
    <xf numFmtId="176" fontId="11" fillId="4" borderId="23" xfId="1" applyNumberFormat="1" applyFont="1" applyFill="1" applyBorder="1" applyAlignment="1"/>
    <xf numFmtId="176" fontId="7" fillId="0" borderId="0" xfId="1" applyNumberFormat="1" applyFont="1" applyAlignment="1"/>
    <xf numFmtId="0" fontId="3" fillId="20" borderId="9" xfId="0" applyFont="1" applyFill="1" applyBorder="1"/>
    <xf numFmtId="1" fontId="3" fillId="0" borderId="9" xfId="0" applyNumberFormat="1" applyFont="1" applyBorder="1"/>
    <xf numFmtId="1" fontId="3" fillId="12" borderId="9" xfId="0" applyNumberFormat="1" applyFont="1" applyFill="1" applyBorder="1"/>
    <xf numFmtId="1" fontId="3" fillId="0" borderId="9" xfId="0" applyNumberFormat="1" applyFont="1" applyFill="1" applyBorder="1"/>
    <xf numFmtId="1" fontId="3" fillId="13" borderId="9" xfId="0" applyNumberFormat="1" applyFont="1" applyFill="1" applyBorder="1"/>
    <xf numFmtId="176" fontId="28" fillId="0" borderId="9" xfId="1" applyNumberFormat="1" applyFont="1" applyBorder="1" applyAlignment="1">
      <alignment horizontal="left"/>
    </xf>
    <xf numFmtId="0" fontId="0" fillId="0" borderId="9" xfId="0" applyFont="1" applyBorder="1"/>
    <xf numFmtId="176" fontId="28" fillId="0" borderId="9" xfId="1" applyNumberFormat="1" applyFont="1" applyBorder="1" applyAlignment="1">
      <alignment horizontal="center"/>
    </xf>
    <xf numFmtId="176" fontId="11" fillId="0" borderId="20" xfId="1" applyNumberFormat="1" applyFont="1" applyFill="1" applyBorder="1" applyAlignment="1"/>
    <xf numFmtId="176" fontId="11" fillId="0" borderId="14" xfId="1" applyNumberFormat="1" applyFont="1" applyFill="1" applyBorder="1" applyAlignment="1"/>
    <xf numFmtId="176" fontId="11" fillId="0" borderId="17" xfId="1" applyNumberFormat="1" applyFont="1" applyFill="1" applyBorder="1" applyAlignment="1"/>
    <xf numFmtId="0" fontId="13" fillId="0" borderId="22" xfId="0" applyFont="1" applyBorder="1"/>
    <xf numFmtId="0" fontId="13" fillId="0" borderId="23" xfId="0" applyFont="1" applyBorder="1"/>
    <xf numFmtId="0" fontId="13" fillId="0" borderId="12" xfId="0" applyFont="1" applyBorder="1"/>
    <xf numFmtId="0" fontId="29" fillId="0" borderId="9" xfId="0" applyFont="1" applyFill="1" applyBorder="1" applyAlignment="1">
      <alignment horizontal="left"/>
    </xf>
    <xf numFmtId="0" fontId="28" fillId="0" borderId="9" xfId="0" applyFont="1" applyBorder="1" applyAlignment="1">
      <alignment horizontal="center" vertical="center"/>
    </xf>
    <xf numFmtId="176" fontId="28" fillId="0" borderId="9" xfId="1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17" fontId="2" fillId="0" borderId="0" xfId="0" applyNumberFormat="1" applyFont="1" applyBorder="1" applyAlignment="1">
      <alignment horizontal="center"/>
    </xf>
    <xf numFmtId="176" fontId="2" fillId="0" borderId="16" xfId="1" applyNumberFormat="1" applyFont="1" applyFill="1" applyBorder="1" applyAlignment="1">
      <alignment horizontal="center"/>
    </xf>
    <xf numFmtId="176" fontId="2" fillId="0" borderId="17" xfId="1" applyNumberFormat="1" applyFont="1" applyFill="1" applyBorder="1" applyAlignment="1">
      <alignment horizontal="center"/>
    </xf>
    <xf numFmtId="176" fontId="2" fillId="0" borderId="18" xfId="1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176" fontId="2" fillId="0" borderId="19" xfId="1" applyNumberFormat="1" applyFont="1" applyFill="1" applyBorder="1" applyAlignment="1">
      <alignment horizontal="center"/>
    </xf>
    <xf numFmtId="176" fontId="2" fillId="0" borderId="20" xfId="1" applyNumberFormat="1" applyFont="1" applyFill="1" applyBorder="1" applyAlignment="1">
      <alignment horizontal="center"/>
    </xf>
    <xf numFmtId="176" fontId="2" fillId="0" borderId="21" xfId="1" applyNumberFormat="1" applyFont="1" applyFill="1" applyBorder="1" applyAlignment="1">
      <alignment horizontal="center"/>
    </xf>
    <xf numFmtId="176" fontId="2" fillId="0" borderId="13" xfId="1" applyNumberFormat="1" applyFont="1" applyFill="1" applyBorder="1" applyAlignment="1">
      <alignment horizontal="center"/>
    </xf>
    <xf numFmtId="176" fontId="2" fillId="0" borderId="14" xfId="1" applyNumberFormat="1" applyFont="1" applyFill="1" applyBorder="1" applyAlignment="1">
      <alignment horizontal="center"/>
    </xf>
    <xf numFmtId="176" fontId="2" fillId="0" borderId="15" xfId="1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st671nb" refreshedDate="46148.965929513892" createdVersion="5" refreshedVersion="5" minRefreshableVersion="3" recordCount="117">
  <cacheSource type="worksheet">
    <worksheetSource ref="A1:M1048576" sheet="Apr2026"/>
  </cacheSource>
  <cacheFields count="13">
    <cacheField name="C" numFmtId="0">
      <sharedItems containsBlank="1" containsMixedTypes="1" containsNumber="1" containsInteger="1" minValue="1" maxValue="51"/>
    </cacheField>
    <cacheField name="Invoice Date" numFmtId="0">
      <sharedItems containsNonDate="0" containsDate="1" containsString="0" containsBlank="1" minDate="2026-03-21T00:00:00" maxDate="2026-05-05T00:00:00"/>
    </cacheField>
    <cacheField name="Reimbursement Date" numFmtId="0">
      <sharedItems containsNonDate="0" containsDate="1" containsString="0" containsBlank="1" minDate="2026-03-21T00:00:00" maxDate="2026-05-05T00:00:00"/>
    </cacheField>
    <cacheField name="Detail" numFmtId="0">
      <sharedItems containsBlank="1"/>
    </cacheField>
    <cacheField name="Supplier Name " numFmtId="0">
      <sharedItems containsBlank="1"/>
    </cacheField>
    <cacheField name="Chinese Details" numFmtId="0">
      <sharedItems containsBlank="1"/>
    </cacheField>
    <cacheField name="FILTER " numFmtId="0">
      <sharedItems containsBlank="1" count="5">
        <m/>
        <s v="MATTHEW "/>
        <s v="YI CHANG "/>
        <s v="SANKAR"/>
        <s v="KABIR"/>
      </sharedItems>
    </cacheField>
    <cacheField name="Opening Balance" numFmtId="0">
      <sharedItems containsBlank="1" containsMixedTypes="1" containsNumber="1" containsInteger="1" minValue="204889" maxValue="208067"/>
    </cacheField>
    <cacheField name="Incoming" numFmtId="0">
      <sharedItems containsBlank="1"/>
    </cacheField>
    <cacheField name="Outgoing" numFmtId="176">
      <sharedItems containsString="0" containsBlank="1" containsNumber="1" containsInteger="1" minValue="45" maxValue="367645" count="92">
        <n v="8067"/>
        <n v="850"/>
        <n v="360"/>
        <n v="170"/>
        <n v="565"/>
        <n v="642"/>
        <n v="4530"/>
        <n v="3500"/>
        <n v="600"/>
        <n v="3300"/>
        <n v="7505"/>
        <n v="130"/>
        <n v="630"/>
        <n v="300"/>
        <n v="1200"/>
        <n v="260"/>
        <n v="4460"/>
        <n v="10467"/>
        <n v="5838"/>
        <n v="840"/>
        <n v="293"/>
        <n v="560"/>
        <n v="75"/>
        <n v="100"/>
        <n v="222"/>
        <n v="5677"/>
        <n v="21501"/>
        <n v="15640"/>
        <n v="1600"/>
        <n v="3600"/>
        <n v="2170"/>
        <n v="1840"/>
        <n v="5600"/>
        <n v="9677"/>
        <n v="14160"/>
        <n v="12000"/>
        <n v="23948"/>
        <n v="529"/>
        <n v="5324"/>
        <n v="2682"/>
        <n v="5768"/>
        <n v="14054"/>
        <n v="2800"/>
        <n v="634"/>
        <n v="1405"/>
        <n v="730"/>
        <n v="611"/>
        <n v="1525"/>
        <n v="400"/>
        <n v="350"/>
        <n v="3097"/>
        <m/>
        <n v="1630"/>
        <n v="3090"/>
        <n v="1756"/>
        <n v="169"/>
        <n v="648"/>
        <n v="1640"/>
        <n v="16124"/>
        <n v="80"/>
        <n v="680"/>
        <n v="398"/>
        <n v="18504"/>
        <n v="7500"/>
        <n v="2500"/>
        <n v="8800"/>
        <n v="9250"/>
        <n v="1300"/>
        <n v="4492"/>
        <n v="2810"/>
        <n v="2138"/>
        <n v="1000"/>
        <n v="2446"/>
        <n v="381"/>
        <n v="1800"/>
        <n v="1400"/>
        <n v="45"/>
        <n v="820"/>
        <n v="1500"/>
        <n v="390"/>
        <n v="1050"/>
        <n v="420"/>
        <n v="582"/>
        <n v="1080"/>
        <n v="8000"/>
        <n v="700"/>
        <n v="3661"/>
        <n v="6952"/>
        <n v="2872"/>
        <n v="108"/>
        <n v="6994"/>
        <n v="367645"/>
      </sharedItems>
    </cacheField>
    <cacheField name="Balance" numFmtId="176">
      <sharedItems containsString="0" containsBlank="1" containsNumber="1" containsInteger="1" minValue="-37531" maxValue="412956"/>
    </cacheField>
    <cacheField name="Bill" numFmtId="0">
      <sharedItems containsBlank="1"/>
    </cacheField>
    <cacheField name="pay" numFmtId="0">
      <sharedItems containsBlank="1" count="5">
        <s v="Opening Bal"/>
        <s v="PAID"/>
        <m/>
        <s v="TO PAY"/>
        <s v="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">
  <r>
    <s v="編號"/>
    <d v="2026-03-26T00:00:00"/>
    <m/>
    <m/>
    <m/>
    <m/>
    <x v="0"/>
    <n v="208067"/>
    <m/>
    <x v="0"/>
    <n v="200000"/>
    <s v="Opening Bal"/>
    <x v="0"/>
  </r>
  <r>
    <s v="A-01"/>
    <d v="2026-03-21T00:00:00"/>
    <d v="2026-03-21T00:00:00"/>
    <s v="Water Can for Office"/>
    <m/>
    <s v="辦公室用水桶"/>
    <x v="1"/>
    <m/>
    <m/>
    <x v="1"/>
    <n v="199150"/>
    <s v="YES"/>
    <x v="1"/>
  </r>
  <r>
    <s v="A-02"/>
    <d v="2026-03-21T00:00:00"/>
    <d v="2026-03-21T00:00:00"/>
    <s v="Water Can for Flat"/>
    <m/>
    <s v="公寓用水桶"/>
    <x v="1"/>
    <m/>
    <m/>
    <x v="2"/>
    <n v="198790"/>
    <s v="YES"/>
    <x v="1"/>
  </r>
  <r>
    <s v="A-03"/>
    <d v="2026-03-23T00:00:00"/>
    <d v="2026-03-21T00:00:00"/>
    <s v="RSK Courier"/>
    <m/>
    <s v="RSK 快遞"/>
    <x v="1"/>
    <m/>
    <m/>
    <x v="3"/>
    <n v="198620"/>
    <s v="YES"/>
    <x v="1"/>
  </r>
  <r>
    <s v="A-04"/>
    <d v="2026-03-24T00:00:00"/>
    <d v="2026-03-24T00:00:00"/>
    <s v="Flat Things by Yichang"/>
    <s v="AKSHAYA HYPER MARKET "/>
    <s v="yichang公寓用品"/>
    <x v="2"/>
    <m/>
    <m/>
    <x v="4"/>
    <n v="198055"/>
    <s v="YES"/>
    <x v="1"/>
  </r>
  <r>
    <s v="A-05"/>
    <d v="2026-03-24T00:00:00"/>
    <d v="2026-03-24T00:00:00"/>
    <s v="Flat Things by Yichang"/>
    <s v="AKSHAYA HYPER MARKET "/>
    <s v="yichang公寓用品"/>
    <x v="2"/>
    <m/>
    <m/>
    <x v="5"/>
    <n v="197413"/>
    <s v="YES"/>
    <x v="1"/>
  </r>
  <r>
    <s v="A-06"/>
    <d v="2026-03-24T00:00:00"/>
    <d v="2026-03-24T00:00:00"/>
    <s v="Flat Things by Yichang"/>
    <s v="SEOUL STORE "/>
    <s v="yichang公寓用品"/>
    <x v="2"/>
    <m/>
    <m/>
    <x v="6"/>
    <n v="192883"/>
    <s v="YES"/>
    <x v="1"/>
  </r>
  <r>
    <s v="A-07"/>
    <d v="2026-03-26T00:00:00"/>
    <d v="2026-03-26T00:00:00"/>
    <s v="Factory office key copy 10pcs"/>
    <s v="工廠辦公室鑰匙拷貝"/>
    <s v="工廠辦公室鑰匙複製（10把）"/>
    <x v="3"/>
    <m/>
    <m/>
    <x v="7"/>
    <n v="189383"/>
    <s v="YES"/>
    <x v="1"/>
  </r>
  <r>
    <s v="A-08"/>
    <d v="2026-03-26T00:00:00"/>
    <d v="2026-03-26T00:00:00"/>
    <s v="Water Can for Flat  2f"/>
    <s v="2F宿舍飲水"/>
    <s v="公寓二樓用水桶"/>
    <x v="3"/>
    <m/>
    <m/>
    <x v="8"/>
    <n v="188783"/>
    <s v="YES"/>
    <x v="1"/>
  </r>
  <r>
    <s v="A-09"/>
    <d v="2026-03-26T00:00:00"/>
    <d v="2026-03-26T00:00:00"/>
    <s v="Jio Pole Wielding"/>
    <m/>
    <s v="Jio 電桿焊接"/>
    <x v="1"/>
    <m/>
    <m/>
    <x v="9"/>
    <n v="185483"/>
    <s v="YES"/>
    <x v="1"/>
  </r>
  <r>
    <s v="A-10"/>
    <d v="2026-03-27T00:00:00"/>
    <d v="2026-03-27T00:00:00"/>
    <s v="Tools for charging gun Department "/>
    <s v="CMR TOOLS "/>
    <s v="充電槍部門工具"/>
    <x v="2"/>
    <m/>
    <m/>
    <x v="10"/>
    <n v="177978"/>
    <s v="YES"/>
    <x v="1"/>
  </r>
  <r>
    <s v="A-11"/>
    <d v="2026-03-30T00:00:00"/>
    <d v="2026-03-27T00:00:00"/>
    <s v="RSK Samples"/>
    <m/>
    <s v="RSK 樣品"/>
    <x v="1"/>
    <m/>
    <m/>
    <x v="11"/>
    <n v="177848"/>
    <s v="YES"/>
    <x v="1"/>
  </r>
  <r>
    <s v="A-12"/>
    <d v="2026-03-30T00:00:00"/>
    <d v="2026-03-27T00:00:00"/>
    <s v="Water for flat"/>
    <m/>
    <s v="公寓用水"/>
    <x v="1"/>
    <m/>
    <m/>
    <x v="12"/>
    <n v="177218"/>
    <s v="YES"/>
    <x v="1"/>
  </r>
  <r>
    <s v="A-13"/>
    <d v="2026-03-31T00:00:00"/>
    <d v="2026-03-27T00:00:00"/>
    <s v="Notary Signature"/>
    <m/>
    <s v="公證簽名"/>
    <x v="1"/>
    <m/>
    <m/>
    <x v="13"/>
    <n v="176918"/>
    <s v="YES"/>
    <x v="1"/>
  </r>
  <r>
    <s v="A-14"/>
    <d v="2026-03-31T00:00:00"/>
    <d v="2026-03-27T00:00:00"/>
    <s v="Sov Sample"/>
    <m/>
    <s v="Sov 樣品"/>
    <x v="2"/>
    <m/>
    <m/>
    <x v="14"/>
    <n v="175718"/>
    <s v="YES"/>
    <x v="1"/>
  </r>
  <r>
    <s v="A-15"/>
    <d v="2026-04-01T00:00:00"/>
    <d v="2026-03-27T00:00:00"/>
    <s v="RSK Samples"/>
    <m/>
    <s v="RSK 樣品"/>
    <x v="1"/>
    <m/>
    <m/>
    <x v="15"/>
    <n v="175458"/>
    <s v="YES"/>
    <x v="1"/>
  </r>
  <r>
    <s v="A-16"/>
    <d v="2026-04-01T00:00:00"/>
    <d v="2026-03-27T00:00:00"/>
    <s v="Petrol from 01-03-26 to 31-03-26"/>
    <s v="CMR TOOLS "/>
    <s v="2026/03/01–2026/03/31 汽油費"/>
    <x v="2"/>
    <m/>
    <m/>
    <x v="16"/>
    <n v="170998"/>
    <s v="YES"/>
    <x v="1"/>
  </r>
  <r>
    <s v="A-17"/>
    <d v="2026-04-01T00:00:00"/>
    <d v="2026-03-27T00:00:00"/>
    <s v="Tools for Factory By Yichang"/>
    <s v="CMR TOOLS "/>
    <s v="yichang提供之工廠工具"/>
    <x v="2"/>
    <m/>
    <m/>
    <x v="17"/>
    <n v="160531"/>
    <s v="YES"/>
    <x v="1"/>
  </r>
  <r>
    <s v="A-18"/>
    <d v="2026-04-04T00:00:00"/>
    <d v="2026-03-27T00:00:00"/>
    <s v="Flat Things by Yichang"/>
    <s v="Seoul Store"/>
    <s v="yichang公寓用品"/>
    <x v="2"/>
    <m/>
    <m/>
    <x v="18"/>
    <n v="154693"/>
    <s v="YES"/>
    <x v="1"/>
  </r>
  <r>
    <s v="A-19"/>
    <d v="2026-04-04T00:00:00"/>
    <d v="2026-03-27T00:00:00"/>
    <s v="Food"/>
    <s v="Hana Enterprises"/>
    <s v="食物"/>
    <x v="2"/>
    <m/>
    <m/>
    <x v="19"/>
    <n v="153853"/>
    <s v="YES"/>
    <x v="1"/>
  </r>
  <r>
    <s v="A-20"/>
    <d v="2026-04-04T00:00:00"/>
    <d v="2026-03-27T00:00:00"/>
    <s v="Groceries"/>
    <s v="Madras Ago Products"/>
    <s v="雜貨"/>
    <x v="2"/>
    <m/>
    <m/>
    <x v="20"/>
    <n v="153560"/>
    <s v="YES"/>
    <x v="1"/>
  </r>
  <r>
    <s v="A-21"/>
    <d v="2026-04-07T00:00:00"/>
    <d v="2026-03-27T00:00:00"/>
    <s v="Bond Paper"/>
    <m/>
    <s v="影印紙"/>
    <x v="1"/>
    <m/>
    <m/>
    <x v="21"/>
    <n v="153000"/>
    <s v="YES"/>
    <x v="1"/>
  </r>
  <r>
    <s v="A-22"/>
    <d v="2026-04-07T00:00:00"/>
    <d v="2026-03-27T00:00:00"/>
    <s v="Print out"/>
    <m/>
    <s v="列印費"/>
    <x v="1"/>
    <m/>
    <m/>
    <x v="22"/>
    <n v="152925"/>
    <s v="YES"/>
    <x v="1"/>
  </r>
  <r>
    <s v="A-23"/>
    <d v="2026-03-30T00:00:00"/>
    <d v="2026-03-30T00:00:00"/>
    <s v="Cmr tools"/>
    <s v="CMR TOOLS ( 充電槍產線工具 )"/>
    <s v="CMR 工具"/>
    <x v="2"/>
    <m/>
    <m/>
    <x v="10"/>
    <n v="145420"/>
    <s v="YES"/>
    <x v="1"/>
  </r>
  <r>
    <s v="A-24"/>
    <d v="2026-03-30T00:00:00"/>
    <d v="2026-03-30T00:00:00"/>
    <s v="highway"/>
    <s v="過路費"/>
    <s v="高速公路費"/>
    <x v="2"/>
    <m/>
    <m/>
    <x v="23"/>
    <n v="145320"/>
    <s v="YES"/>
    <x v="1"/>
  </r>
  <r>
    <s v="A-25"/>
    <d v="2026-04-12T00:00:00"/>
    <d v="2026-04-12T00:00:00"/>
    <s v="business phone"/>
    <s v="airtel"/>
    <s v="商務電話費"/>
    <x v="2"/>
    <m/>
    <m/>
    <x v="24"/>
    <n v="145098"/>
    <s v="YES"/>
    <x v="1"/>
  </r>
  <r>
    <s v="A-26"/>
    <d v="2026-04-03T00:00:00"/>
    <d v="2026-04-03T00:00:00"/>
    <s v="Cmr tools"/>
    <s v="CMR TOOLS ( 充電槍產線工具 )"/>
    <s v="CMR 工具"/>
    <x v="2"/>
    <m/>
    <m/>
    <x v="25"/>
    <n v="139421"/>
    <s v="YES"/>
    <x v="1"/>
  </r>
  <r>
    <s v="A-27"/>
    <d v="2026-04-02T00:00:00"/>
    <d v="2026-04-02T00:00:00"/>
    <s v="sankar 3月車費"/>
    <s v="selvarani cabs"/>
    <s v="sankar 3月車費"/>
    <x v="3"/>
    <m/>
    <m/>
    <x v="26"/>
    <n v="117920"/>
    <s v="NO"/>
    <x v="1"/>
  </r>
  <r>
    <s v="A-28"/>
    <d v="2026-04-02T00:00:00"/>
    <d v="2026-04-02T00:00:00"/>
    <s v="kabir 3月車費"/>
    <s v="selvarani cabs"/>
    <s v="kabir 3月車費"/>
    <x v="4"/>
    <m/>
    <m/>
    <x v="27"/>
    <n v="102280"/>
    <s v="NO"/>
    <x v="1"/>
  </r>
  <r>
    <s v="A-29"/>
    <d v="2026-04-02T00:00:00"/>
    <d v="2026-04-02T00:00:00"/>
    <s v="godson 3月車費"/>
    <s v="selvarani cabs"/>
    <s v="godson 3月車費"/>
    <x v="1"/>
    <m/>
    <m/>
    <x v="28"/>
    <n v="100680"/>
    <s v="NO"/>
    <x v="1"/>
  </r>
  <r>
    <s v="A-30"/>
    <d v="2026-04-07T00:00:00"/>
    <d v="2026-04-02T00:00:00"/>
    <s v="SNACKS (NUTS)"/>
    <s v="Seoul Store"/>
    <s v="點心（堅果）"/>
    <x v="2"/>
    <m/>
    <m/>
    <x v="29"/>
    <n v="97080"/>
    <s v="YES"/>
    <x v="1"/>
  </r>
  <r>
    <s v="A-31"/>
    <d v="2026-04-11T00:00:00"/>
    <d v="2026-04-02T00:00:00"/>
    <s v="Flat Things by Yichang"/>
    <s v="Seoul Store"/>
    <s v="yichang公寓用品"/>
    <x v="2"/>
    <m/>
    <m/>
    <x v="30"/>
    <n v="94910"/>
    <s v="YES"/>
    <x v="1"/>
  </r>
  <r>
    <s v="A-32"/>
    <d v="2026-04-11T00:00:00"/>
    <d v="2026-04-02T00:00:00"/>
    <s v="Flat Things by Yichang"/>
    <s v="Seoul Store"/>
    <s v="yichang公寓用品"/>
    <x v="2"/>
    <m/>
    <m/>
    <x v="31"/>
    <n v="93070"/>
    <s v="YES"/>
    <x v="1"/>
  </r>
  <r>
    <s v="A-33"/>
    <d v="2026-04-11T00:00:00"/>
    <d v="2026-04-02T00:00:00"/>
    <s v="Flat Things by Yichang"/>
    <s v="Seoul Store"/>
    <s v="yichang公寓用品"/>
    <x v="2"/>
    <m/>
    <m/>
    <x v="32"/>
    <n v="87470"/>
    <s v="YES"/>
    <x v="1"/>
  </r>
  <r>
    <s v="A-34"/>
    <d v="2026-04-12T00:00:00"/>
    <d v="2026-04-12T00:00:00"/>
    <s v="March factory cleaning staff costs"/>
    <m/>
    <s v="3月工廠清潔人員費用"/>
    <x v="2"/>
    <m/>
    <m/>
    <x v="33"/>
    <n v="77793"/>
    <s v="YES"/>
    <x v="1"/>
  </r>
  <r>
    <s v="A-35"/>
    <d v="2026-04-13T00:00:00"/>
    <d v="2026-04-13T00:00:00"/>
    <s v="Floor mount tv stand"/>
    <s v="SURYA TRADERS"/>
    <s v="落地式電視支架"/>
    <x v="3"/>
    <m/>
    <m/>
    <x v="34"/>
    <n v="63633"/>
    <s v="NO"/>
    <x v="1"/>
  </r>
  <r>
    <s v="A-36"/>
    <d v="2026-04-11T00:00:00"/>
    <d v="2026-04-13T00:00:00"/>
    <s v="Tea fee from the power companypower copmpany"/>
    <m/>
    <s v="電力公司茶水費"/>
    <x v="4"/>
    <m/>
    <m/>
    <x v="35"/>
    <n v="51633"/>
    <s v="NO"/>
    <x v="1"/>
  </r>
  <r>
    <s v="A-37"/>
    <d v="2026-04-13T00:00:00"/>
    <d v="2026-04-13T00:00:00"/>
    <s v="Welding machine, pipe fittings, pressure gauges, and other tools"/>
    <s v="SURYA TRADERS"/>
    <s v="焊接機、管件、壓力表及其他工具"/>
    <x v="2"/>
    <m/>
    <m/>
    <x v="36"/>
    <n v="27685"/>
    <s v="YES"/>
    <x v="1"/>
  </r>
  <r>
    <s v="A-38"/>
    <d v="2026-04-14T00:00:00"/>
    <d v="2026-04-14T00:00:00"/>
    <s v="Post Paid Recharge"/>
    <s v="airtel"/>
    <s v="後付費充值"/>
    <x v="2"/>
    <m/>
    <m/>
    <x v="37"/>
    <n v="27156"/>
    <s v="YES"/>
    <x v="1"/>
  </r>
  <r>
    <s v="A-39"/>
    <d v="2026-04-14T00:00:00"/>
    <d v="2026-04-14T00:00:00"/>
    <s v="Tools By Yichang"/>
    <s v="suriya traders"/>
    <s v="yichang工具"/>
    <x v="2"/>
    <m/>
    <m/>
    <x v="38"/>
    <n v="21832"/>
    <s v="YES"/>
    <x v="1"/>
  </r>
  <r>
    <s v="A-40"/>
    <d v="2026-04-15T00:00:00"/>
    <d v="2026-04-14T00:00:00"/>
    <s v="Lunch Box, Spoon &amp; Forks"/>
    <s v="Murugan Store"/>
    <s v="便當盒、湯匙與叉子"/>
    <x v="2"/>
    <m/>
    <m/>
    <x v="39"/>
    <n v="19150"/>
    <s v="YES"/>
    <x v="1"/>
  </r>
  <r>
    <s v="A-41"/>
    <d v="2026-04-14T00:00:00"/>
    <d v="2026-04-14T00:00:00"/>
    <m/>
    <s v="802 Dormitory Electricity Fee"/>
    <s v="801宿舍電費"/>
    <x v="4"/>
    <m/>
    <m/>
    <x v="40"/>
    <n v="13382"/>
    <s v="NO"/>
    <x v="1"/>
  </r>
  <r>
    <s v="A-42"/>
    <d v="2026-04-16T00:00:00"/>
    <d v="2026-04-16T00:00:00"/>
    <m/>
    <s v="SURYA TRADERS"/>
    <s v="沖壓產線工具"/>
    <x v="2"/>
    <m/>
    <m/>
    <x v="41"/>
    <n v="-672"/>
    <s v="YES"/>
    <x v="1"/>
  </r>
  <r>
    <s v="A-43"/>
    <d v="2026-04-12T00:00:00"/>
    <d v="2026-04-25T00:00:00"/>
    <s v="Fridge &amp; TV delivery charges"/>
    <s v="V.V.K.ENTERPRISES"/>
    <s v="冰箱與電視配送費"/>
    <x v="3"/>
    <m/>
    <m/>
    <x v="42"/>
    <n v="-3472"/>
    <s v="YES"/>
    <x v="1"/>
  </r>
  <r>
    <s v="A-44"/>
    <d v="2026-04-12T00:00:00"/>
    <d v="2026-04-25T00:00:00"/>
    <m/>
    <s v="smartshift logistics"/>
    <s v="交通費"/>
    <x v="3"/>
    <m/>
    <m/>
    <x v="43"/>
    <n v="-4106"/>
    <s v="YES"/>
    <x v="1"/>
  </r>
  <r>
    <s v="A-45"/>
    <d v="2026-04-13T00:00:00"/>
    <d v="2026-04-25T00:00:00"/>
    <m/>
    <s v="smartshift logistics"/>
    <s v="交通費"/>
    <x v="3"/>
    <m/>
    <m/>
    <x v="44"/>
    <n v="-5511"/>
    <s v="YES"/>
    <x v="1"/>
  </r>
  <r>
    <s v="A-46"/>
    <d v="2026-04-13T00:00:00"/>
    <d v="2026-04-25T00:00:00"/>
    <m/>
    <s v="smartshift logistics"/>
    <s v="交通費"/>
    <x v="3"/>
    <m/>
    <m/>
    <x v="45"/>
    <n v="-6241"/>
    <s v="YES"/>
    <x v="1"/>
  </r>
  <r>
    <s v="A-47"/>
    <d v="2026-04-16T00:00:00"/>
    <d v="2026-04-16T00:00:00"/>
    <s v="Documents to Worldtrund"/>
    <s v="smartshift logistics"/>
    <s v="文件寄送至 Worldtrund"/>
    <x v="4"/>
    <m/>
    <m/>
    <x v="46"/>
    <n v="-6852"/>
    <s v="YES"/>
    <x v="1"/>
  </r>
  <r>
    <s v="A-48"/>
    <d v="2026-04-17T00:00:00"/>
    <d v="2026-04-17T00:00:00"/>
    <s v="WATER CAN PURCHASE (20L)"/>
    <s v="V V K ENTERPRISES"/>
    <s v="購買水桶（20L）"/>
    <x v="1"/>
    <m/>
    <m/>
    <x v="47"/>
    <n v="-8377"/>
    <s v="YES"/>
    <x v="1"/>
  </r>
  <r>
    <s v="A-49"/>
    <d v="2026-04-17T00:00:00"/>
    <d v="2026-04-17T00:00:00"/>
    <s v="Purchase of tape C"/>
    <s v="Mettur Transport"/>
    <s v="購買膠帶C"/>
    <x v="1"/>
    <m/>
    <m/>
    <x v="3"/>
    <n v="-8547"/>
    <s v="YES"/>
    <x v="1"/>
  </r>
  <r>
    <s v="A-50"/>
    <d v="2026-04-18T00:00:00"/>
    <d v="2026-04-18T00:00:00"/>
    <s v="Purchase of Tools"/>
    <s v="ORBIT Wires &amp; Cables"/>
    <s v="購買工具"/>
    <x v="2"/>
    <m/>
    <m/>
    <x v="48"/>
    <n v="-8947"/>
    <s v="YES"/>
    <x v="1"/>
  </r>
  <r>
    <s v="A-51"/>
    <d v="2026-04-18T00:00:00"/>
    <d v="2026-04-18T00:00:00"/>
    <s v="Courier to Bank (Harayana)"/>
    <s v="Blue Dart"/>
    <s v="寄送至銀行（哈里亞納）"/>
    <x v="1"/>
    <m/>
    <m/>
    <x v="49"/>
    <n v="-9297"/>
    <s v="YES"/>
    <x v="1"/>
  </r>
  <r>
    <s v="A-52"/>
    <d v="2026-04-18T00:00:00"/>
    <d v="2026-04-18T00:00:00"/>
    <s v="March factory cleaning staff costs"/>
    <m/>
    <s v="3月工廠清潔人員費用"/>
    <x v="2"/>
    <m/>
    <m/>
    <x v="50"/>
    <n v="-12394"/>
    <s v="YES"/>
    <x v="1"/>
  </r>
  <r>
    <s v="A.1"/>
    <m/>
    <m/>
    <m/>
    <m/>
    <m/>
    <x v="0"/>
    <m/>
    <m/>
    <x v="51"/>
    <n v="-12394"/>
    <m/>
    <x v="2"/>
  </r>
  <r>
    <n v="1"/>
    <d v="2026-04-18T00:00:00"/>
    <d v="2026-04-24T00:00:00"/>
    <s v="Flat Things By Yichang"/>
    <s v="Seoul Store"/>
    <s v="yichang公寓用品"/>
    <x v="2"/>
    <m/>
    <m/>
    <x v="52"/>
    <n v="-14024"/>
    <s v="YES"/>
    <x v="1"/>
  </r>
  <r>
    <n v="2"/>
    <d v="2026-04-18T00:00:00"/>
    <d v="2026-04-24T00:00:00"/>
    <s v="Flat Things By Yichang"/>
    <s v="Seoul Store"/>
    <s v="yichang公寓用品"/>
    <x v="2"/>
    <m/>
    <m/>
    <x v="53"/>
    <n v="-17114"/>
    <s v="YES"/>
    <x v="1"/>
  </r>
  <r>
    <n v="3"/>
    <d v="2026-04-20T00:00:00"/>
    <d v="2026-04-24T00:00:00"/>
    <s v="Purchase of Electrical Materials"/>
    <s v="SURYA TRADERS"/>
    <s v="購買電氣材料"/>
    <x v="2"/>
    <m/>
    <m/>
    <x v="54"/>
    <n v="-18870"/>
    <s v="YES"/>
    <x v="1"/>
  </r>
  <r>
    <n v="4"/>
    <d v="2026-04-21T00:00:00"/>
    <d v="2026-04-24T00:00:00"/>
    <s v="Purchase of Vegetable"/>
    <s v="EKV market"/>
    <s v="購買蔬菜"/>
    <x v="2"/>
    <m/>
    <m/>
    <x v="55"/>
    <n v="-19039"/>
    <s v="YES"/>
    <x v="1"/>
  </r>
  <r>
    <n v="5"/>
    <d v="2026-04-21T00:00:00"/>
    <d v="2026-04-24T00:00:00"/>
    <s v="Appartment - Wifi "/>
    <s v="Airtel Postpaid Bill"/>
    <s v="公寓 WiFi"/>
    <x v="1"/>
    <m/>
    <m/>
    <x v="56"/>
    <n v="-19687"/>
    <s v="YES"/>
    <x v="1"/>
  </r>
  <r>
    <n v="6"/>
    <d v="2026-04-21T00:00:00"/>
    <d v="2026-04-24T00:00:00"/>
    <s v="Purchase of Lunch Box"/>
    <s v="Baskar Store"/>
    <s v="購買便當盒"/>
    <x v="1"/>
    <m/>
    <m/>
    <x v="57"/>
    <n v="-21327"/>
    <s v="YES"/>
    <x v="1"/>
  </r>
  <r>
    <n v="7"/>
    <d v="2026-04-21T00:00:00"/>
    <d v="2026-04-24T00:00:00"/>
    <s v="Purchase of Electrical Materials"/>
    <s v="SURYA TRADERS"/>
    <s v="購買電氣材料"/>
    <x v="4"/>
    <m/>
    <m/>
    <x v="58"/>
    <n v="-37451"/>
    <s v="YES"/>
    <x v="1"/>
  </r>
  <r>
    <n v="8"/>
    <d v="2026-04-21T00:00:00"/>
    <d v="2026-04-24T00:00:00"/>
    <s v="Courier to vendor(Samples)"/>
    <s v="MR ENTERPRISE "/>
    <s v="寄樣品給供應商"/>
    <x v="1"/>
    <m/>
    <m/>
    <x v="59"/>
    <n v="-37531"/>
    <s v="YES"/>
    <x v="1"/>
  </r>
  <r>
    <n v="9"/>
    <d v="2026-04-22T00:00:00"/>
    <m/>
    <m/>
    <m/>
    <m/>
    <x v="0"/>
    <n v="204889"/>
    <m/>
    <x v="51"/>
    <n v="167358"/>
    <s v="YES"/>
    <x v="2"/>
  </r>
  <r>
    <n v="10"/>
    <d v="2026-04-24T00:00:00"/>
    <d v="2026-04-24T00:00:00"/>
    <s v="Flat Things By Yichang"/>
    <s v="Seoul Store"/>
    <s v="yichang公寓用品"/>
    <x v="2"/>
    <m/>
    <m/>
    <x v="60"/>
    <n v="166678"/>
    <s v="YES"/>
    <x v="1"/>
  </r>
  <r>
    <n v="11"/>
    <d v="2026-04-22T00:00:00"/>
    <d v="2026-04-24T00:00:00"/>
    <s v="Flat Things By Yichang"/>
    <s v="Seoul Store"/>
    <s v="yichang公寓用品"/>
    <x v="2"/>
    <m/>
    <m/>
    <x v="61"/>
    <n v="166280"/>
    <s v="YES"/>
    <x v="1"/>
  </r>
  <r>
    <n v="12"/>
    <d v="2026-04-22T00:00:00"/>
    <d v="2026-04-24T00:00:00"/>
    <s v="Purchase of Electrical Materials"/>
    <s v="SURYA TRADERS"/>
    <s v="購買電氣材料"/>
    <x v="4"/>
    <m/>
    <m/>
    <x v="62"/>
    <n v="147776"/>
    <s v="YES"/>
    <x v="1"/>
  </r>
  <r>
    <n v="13"/>
    <d v="2026-04-24T00:00:00"/>
    <d v="2026-04-24T00:00:00"/>
    <s v="Purchase of Food-CQMS person-2Nos"/>
    <s v="Padamavathi Hotel"/>
    <s v="CQMS人員餐費（2人）"/>
    <x v="1"/>
    <m/>
    <m/>
    <x v="15"/>
    <n v="147516"/>
    <s v="YES"/>
    <x v="1"/>
  </r>
  <r>
    <n v="14"/>
    <d v="2026-04-24T00:00:00"/>
    <d v="2026-04-24T00:00:00"/>
    <s v="TNEB 801 DORMITORY"/>
    <s v="Apprtment EB bill"/>
    <s v="TNEB 801 宿舍電費"/>
    <x v="4"/>
    <m/>
    <m/>
    <x v="40"/>
    <n v="141748"/>
    <s v="YES"/>
    <x v="1"/>
  </r>
  <r>
    <n v="15"/>
    <d v="2026-04-24T00:00:00"/>
    <d v="2026-04-24T00:00:00"/>
    <s v="CAB BOOKING (Airport to Prince)"/>
    <s v="Cab charges"/>
    <s v="訂車（機場 → Prince）"/>
    <x v="4"/>
    <m/>
    <m/>
    <x v="63"/>
    <n v="134248"/>
    <s v="NO"/>
    <x v="1"/>
  </r>
  <r>
    <n v="16"/>
    <d v="2026-04-24T00:00:00"/>
    <d v="2026-04-24T00:00:00"/>
    <s v="Cab book - Prince to Airport"/>
    <s v="Cab charges"/>
    <s v="訂車（Prince → 機場）"/>
    <x v="4"/>
    <m/>
    <m/>
    <x v="64"/>
    <n v="131748"/>
    <s v="NO"/>
    <x v="1"/>
  </r>
  <r>
    <n v="17"/>
    <d v="2026-04-24T00:00:00"/>
    <d v="2026-04-25T00:00:00"/>
    <s v="Cab book - Supporting Team"/>
    <s v="Cab charges"/>
    <s v="支援團隊用車"/>
    <x v="3"/>
    <m/>
    <m/>
    <x v="65"/>
    <n v="122948"/>
    <s v="YES"/>
    <x v="1"/>
  </r>
  <r>
    <n v="18"/>
    <d v="2026-04-24T00:00:00"/>
    <d v="2026-04-25T00:00:00"/>
    <s v="Cab book - Supporting Team"/>
    <s v="Cab charges"/>
    <s v="支援團隊用車"/>
    <x v="3"/>
    <m/>
    <m/>
    <x v="66"/>
    <n v="113698"/>
    <s v="YES"/>
    <x v="1"/>
  </r>
  <r>
    <n v="19"/>
    <d v="2026-04-24T00:00:00"/>
    <d v="2026-04-25T00:00:00"/>
    <s v="Scirror lift Delivery charge(Hunter to KST)"/>
    <s v="Delivery charge"/>
    <s v="剪叉式升降機運費（Hunter → KST）"/>
    <x v="3"/>
    <m/>
    <m/>
    <x v="67"/>
    <n v="112398"/>
    <s v="YES"/>
    <x v="1"/>
  </r>
  <r>
    <n v="20"/>
    <d v="2026-04-17T00:00:00"/>
    <d v="2026-04-25T00:00:00"/>
    <s v="HUNTER"/>
    <s v="HUNTER"/>
    <s v="HUNTER"/>
    <x v="2"/>
    <m/>
    <m/>
    <x v="42"/>
    <n v="109598"/>
    <s v="NO"/>
    <x v="1"/>
  </r>
  <r>
    <n v="21"/>
    <d v="2026-04-24T00:00:00"/>
    <d v="2026-04-27T00:00:00"/>
    <s v="Flat Things By Yichang"/>
    <s v="Seoul Store"/>
    <s v="yichang公寓用品"/>
    <x v="2"/>
    <m/>
    <m/>
    <x v="68"/>
    <n v="105106"/>
    <s v="YES"/>
    <x v="1"/>
  </r>
  <r>
    <n v="22"/>
    <d v="2026-04-24T00:00:00"/>
    <d v="2026-04-27T00:00:00"/>
    <s v="Flat Things By Yichang"/>
    <s v="Seoul Store"/>
    <s v="yichang公寓用品"/>
    <x v="2"/>
    <m/>
    <m/>
    <x v="69"/>
    <n v="102296"/>
    <s v="YES"/>
    <x v="1"/>
  </r>
  <r>
    <n v="23"/>
    <d v="2026-04-24T00:00:00"/>
    <d v="2026-04-27T00:00:00"/>
    <s v="Flat Things By Yichang"/>
    <s v="Seoul Store"/>
    <s v="yichang公寓用品"/>
    <x v="2"/>
    <m/>
    <m/>
    <x v="70"/>
    <n v="100158"/>
    <s v="YES"/>
    <x v="1"/>
  </r>
  <r>
    <n v="24"/>
    <d v="2026-04-26T00:00:00"/>
    <d v="2026-04-27T00:00:00"/>
    <s v="Purchase of Mobil Oil"/>
    <s v="Surya Traders"/>
    <s v="購買機油"/>
    <x v="1"/>
    <m/>
    <m/>
    <x v="71"/>
    <n v="99158"/>
    <s v="YES"/>
    <x v="1"/>
  </r>
  <r>
    <n v="25"/>
    <d v="2026-04-25T00:00:00"/>
    <d v="2026-04-27T00:00:00"/>
    <s v="Flat Things By Yichang"/>
    <s v="Seoul Store"/>
    <s v="yichang公寓用品"/>
    <x v="2"/>
    <m/>
    <m/>
    <x v="72"/>
    <n v="96712"/>
    <s v="YES"/>
    <x v="1"/>
  </r>
  <r>
    <n v="26"/>
    <d v="2026-04-25T00:00:00"/>
    <d v="2026-04-27T00:00:00"/>
    <s v="Dielsel (Machine Cleaning)"/>
    <s v="Bharat Petroleum"/>
    <s v="柴油（機器清洗）"/>
    <x v="3"/>
    <m/>
    <m/>
    <x v="48"/>
    <n v="96312"/>
    <s v="YES"/>
    <x v="3"/>
  </r>
  <r>
    <n v="27"/>
    <d v="2026-04-25T00:00:00"/>
    <d v="2026-04-27T00:00:00"/>
    <s v="Porter Charges ( Hunter to KST)"/>
    <s v="Rapido (Porter)"/>
    <s v="搬運費（Hunter → KST）"/>
    <x v="3"/>
    <m/>
    <m/>
    <x v="73"/>
    <n v="95931"/>
    <s v="YES"/>
    <x v="3"/>
  </r>
  <r>
    <n v="28"/>
    <d v="2026-04-25T00:00:00"/>
    <d v="2026-04-27T00:00:00"/>
    <s v="Meals - Unloading truck drivers&amp;staff (5 nos)"/>
    <s v="Food Exp Voucher"/>
    <s v="卸貨司機及員工餐費（5人）"/>
    <x v="3"/>
    <m/>
    <m/>
    <x v="13"/>
    <n v="95631"/>
    <s v="YES"/>
    <x v="3"/>
  </r>
  <r>
    <n v="29"/>
    <d v="2026-04-25T00:00:00"/>
    <d v="2026-04-27T00:00:00"/>
    <s v="CAB BOOKING (Prince to Airport)"/>
    <s v="Cab charges"/>
    <s v="訂車（Prince → 機場）"/>
    <x v="3"/>
    <m/>
    <m/>
    <x v="74"/>
    <n v="93831"/>
    <s v="YES"/>
    <x v="3"/>
  </r>
  <r>
    <n v="30"/>
    <d v="2026-04-26T00:00:00"/>
    <d v="2026-04-27T00:00:00"/>
    <s v="CAB BOOKING (Prince~Factory~Prince)"/>
    <s v="Cab charges"/>
    <s v="訂車（Prince ↔ 工廠）"/>
    <x v="3"/>
    <m/>
    <m/>
    <x v="75"/>
    <n v="92431"/>
    <s v="YES"/>
    <x v="3"/>
  </r>
  <r>
    <n v="31"/>
    <d v="2026-04-26T00:00:00"/>
    <d v="2026-04-27T00:00:00"/>
    <s v="Breakfast - Supporting Team"/>
    <s v="Padmavathi Hotel"/>
    <s v="支援團隊早餐"/>
    <x v="3"/>
    <m/>
    <m/>
    <x v="76"/>
    <n v="92386"/>
    <s v="YES"/>
    <x v="3"/>
  </r>
  <r>
    <n v="32"/>
    <d v="2026-04-26T00:00:00"/>
    <d v="2026-04-27T00:00:00"/>
    <s v="Meal for staffs (4 nos)"/>
    <s v="Food Exp Voucher"/>
    <s v="員工餐費（4人）"/>
    <x v="3"/>
    <m/>
    <m/>
    <x v="77"/>
    <n v="91566"/>
    <s v="YES"/>
    <x v="3"/>
  </r>
  <r>
    <n v="33"/>
    <d v="2026-04-26T00:00:00"/>
    <d v="2026-04-27T00:00:00"/>
    <s v="Factory Cleaning work wages(3 person)"/>
    <s v="Wages voucher"/>
    <s v="工廠清潔工資（3人）"/>
    <x v="3"/>
    <m/>
    <m/>
    <x v="78"/>
    <n v="90066"/>
    <s v="YES"/>
    <x v="3"/>
  </r>
  <r>
    <n v="34"/>
    <d v="2026-04-26T00:00:00"/>
    <d v="2026-04-27T00:00:00"/>
    <m/>
    <s v="D-Mart"/>
    <s v="宿舍及工廠飲料、零食"/>
    <x v="2"/>
    <m/>
    <m/>
    <x v="72"/>
    <n v="87620"/>
    <s v="YES"/>
    <x v="3"/>
  </r>
  <r>
    <n v="35"/>
    <d v="2026-04-26T00:00:00"/>
    <d v="2026-04-27T00:00:00"/>
    <m/>
    <s v="NAMMR FRUITS AND NUTS"/>
    <s v="yichang 宿舍食材"/>
    <x v="2"/>
    <m/>
    <m/>
    <x v="79"/>
    <n v="87230"/>
    <s v="YES"/>
    <x v="3"/>
  </r>
  <r>
    <n v="36"/>
    <d v="2026-04-29T00:00:00"/>
    <d v="2026-04-29T00:00:00"/>
    <m/>
    <s v="SEOUL STORE"/>
    <s v="yichang 宿舍食材"/>
    <x v="2"/>
    <m/>
    <m/>
    <x v="80"/>
    <n v="86180"/>
    <s v="YES"/>
    <x v="3"/>
  </r>
  <r>
    <n v="37"/>
    <d v="2026-04-29T00:00:00"/>
    <d v="2026-04-29T00:00:00"/>
    <m/>
    <s v="交通費"/>
    <s v="cmr拿零件"/>
    <x v="2"/>
    <m/>
    <m/>
    <x v="71"/>
    <n v="85180"/>
    <s v="NO"/>
    <x v="3"/>
  </r>
  <r>
    <n v="38"/>
    <d v="2026-04-30T00:00:00"/>
    <d v="2026-04-30T00:00:00"/>
    <m/>
    <s v="交通費"/>
    <s v="cmr拿零件"/>
    <x v="2"/>
    <m/>
    <m/>
    <x v="71"/>
    <n v="84180"/>
    <s v="NO"/>
    <x v="3"/>
  </r>
  <r>
    <n v="39"/>
    <d v="2026-04-30T00:00:00"/>
    <d v="2026-04-30T00:00:00"/>
    <m/>
    <s v="SEOUL STORE"/>
    <s v="yichang 宿舍食材"/>
    <x v="2"/>
    <m/>
    <m/>
    <x v="81"/>
    <n v="83760"/>
    <s v="YES"/>
    <x v="3"/>
  </r>
  <r>
    <n v="40"/>
    <d v="2026-04-30T00:00:00"/>
    <d v="2026-04-30T00:00:00"/>
    <m/>
    <s v="auto(運費)"/>
    <s v="拖板車送維修回廠運費"/>
    <x v="2"/>
    <m/>
    <m/>
    <x v="82"/>
    <n v="83178"/>
    <s v="YES"/>
    <x v="3"/>
  </r>
  <r>
    <n v="41"/>
    <d v="2026-04-30T00:00:00"/>
    <d v="2026-04-30T00:00:00"/>
    <m/>
    <s v="SEOUL STORE"/>
    <s v="202宿舍飲用水及食材"/>
    <x v="2"/>
    <m/>
    <m/>
    <x v="83"/>
    <n v="82098"/>
    <s v="YES"/>
    <x v="3"/>
  </r>
  <r>
    <n v="42"/>
    <d v="2026-04-30T00:00:00"/>
    <d v="2026-04-30T00:00:00"/>
    <m/>
    <s v="交通費"/>
    <s v="派拉蒙來回公司及宿舍費用(洪處、佐霖)"/>
    <x v="2"/>
    <m/>
    <m/>
    <x v="84"/>
    <n v="74098"/>
    <s v="NO"/>
    <x v="3"/>
  </r>
  <r>
    <n v="43"/>
    <d v="2026-04-30T00:00:00"/>
    <d v="2026-04-30T00:00:00"/>
    <m/>
    <s v="auto(運費)"/>
    <s v="電子磅秤運費"/>
    <x v="2"/>
    <m/>
    <m/>
    <x v="85"/>
    <n v="73398"/>
    <s v="NO"/>
    <x v="3"/>
  </r>
  <r>
    <n v="44"/>
    <d v="2026-05-01T00:00:00"/>
    <d v="2026-05-01T00:00:00"/>
    <m/>
    <s v="SHOPPERS STOP"/>
    <s v="鍋子、玻璃瓶、馬克杯等"/>
    <x v="2"/>
    <m/>
    <m/>
    <x v="86"/>
    <n v="69737"/>
    <s v="YES"/>
    <x v="3"/>
  </r>
  <r>
    <n v="45"/>
    <d v="2026-05-01T00:00:00"/>
    <d v="2026-05-01T00:00:00"/>
    <m/>
    <s v="SMART BAZAAR"/>
    <s v="電磁爐、刀具、杯子、飲料、洗衣精等"/>
    <x v="2"/>
    <m/>
    <m/>
    <x v="87"/>
    <n v="62785"/>
    <s v="YES"/>
    <x v="3"/>
  </r>
  <r>
    <n v="46"/>
    <d v="2026-05-03T00:00:00"/>
    <d v="2026-05-03T00:00:00"/>
    <m/>
    <s v="D-MART"/>
    <s v="802及202宿舍五金配件及零食"/>
    <x v="2"/>
    <m/>
    <m/>
    <x v="88"/>
    <n v="59913"/>
    <s v="YES"/>
    <x v="3"/>
  </r>
  <r>
    <n v="47"/>
    <d v="2026-05-04T00:00:00"/>
    <d v="2026-05-04T00:00:00"/>
    <m/>
    <s v="SEOUL STORE"/>
    <s v="202宿舍飲用水"/>
    <x v="2"/>
    <m/>
    <m/>
    <x v="89"/>
    <n v="59805"/>
    <s v="YES"/>
    <x v="3"/>
  </r>
  <r>
    <n v="48"/>
    <d v="2026-05-04T00:00:00"/>
    <d v="2026-05-04T00:00:00"/>
    <m/>
    <s v="DHL"/>
    <s v="泰國寄伺服連接板到印度關稅"/>
    <x v="4"/>
    <m/>
    <m/>
    <x v="90"/>
    <n v="52811"/>
    <s v="YES"/>
    <x v="3"/>
  </r>
  <r>
    <n v="49"/>
    <d v="2026-05-04T00:00:00"/>
    <d v="2026-05-04T00:00:00"/>
    <m/>
    <s v="小巴士"/>
    <s v="機場接機(洪處、大餅、等5位)"/>
    <x v="4"/>
    <m/>
    <m/>
    <x v="63"/>
    <n v="45311"/>
    <s v="YES"/>
    <x v="3"/>
  </r>
  <r>
    <n v="50"/>
    <m/>
    <m/>
    <m/>
    <m/>
    <m/>
    <x v="0"/>
    <m/>
    <m/>
    <x v="51"/>
    <m/>
    <m/>
    <x v="2"/>
  </r>
  <r>
    <n v="51"/>
    <m/>
    <m/>
    <m/>
    <m/>
    <m/>
    <x v="0"/>
    <m/>
    <m/>
    <x v="51"/>
    <m/>
    <m/>
    <x v="2"/>
  </r>
  <r>
    <m/>
    <m/>
    <m/>
    <m/>
    <m/>
    <m/>
    <x v="0"/>
    <m/>
    <m/>
    <x v="51"/>
    <m/>
    <m/>
    <x v="2"/>
  </r>
  <r>
    <m/>
    <m/>
    <m/>
    <m/>
    <m/>
    <m/>
    <x v="0"/>
    <m/>
    <m/>
    <x v="51"/>
    <n v="45311"/>
    <m/>
    <x v="2"/>
  </r>
  <r>
    <m/>
    <m/>
    <m/>
    <m/>
    <m/>
    <m/>
    <x v="0"/>
    <m/>
    <m/>
    <x v="51"/>
    <n v="45311"/>
    <m/>
    <x v="2"/>
  </r>
  <r>
    <m/>
    <m/>
    <m/>
    <m/>
    <m/>
    <m/>
    <x v="0"/>
    <m/>
    <m/>
    <x v="91"/>
    <m/>
    <m/>
    <x v="2"/>
  </r>
  <r>
    <m/>
    <m/>
    <m/>
    <m/>
    <m/>
    <m/>
    <x v="0"/>
    <s v="未結餘額"/>
    <s v="Opening Balance"/>
    <x v="51"/>
    <n v="412956"/>
    <m/>
    <x v="2"/>
  </r>
  <r>
    <m/>
    <m/>
    <m/>
    <m/>
    <m/>
    <m/>
    <x v="0"/>
    <s v="總費用"/>
    <s v="Total Expense"/>
    <x v="51"/>
    <n v="367645"/>
    <m/>
    <x v="2"/>
  </r>
  <r>
    <m/>
    <m/>
    <m/>
    <m/>
    <m/>
    <m/>
    <x v="0"/>
    <s v="現金餘額"/>
    <s v="Cash balance"/>
    <x v="51"/>
    <n v="45311"/>
    <s v=" "/>
    <x v="4"/>
  </r>
  <r>
    <m/>
    <m/>
    <m/>
    <m/>
    <m/>
    <m/>
    <x v="0"/>
    <m/>
    <m/>
    <x v="51"/>
    <m/>
    <m/>
    <x v="2"/>
  </r>
  <r>
    <m/>
    <m/>
    <m/>
    <m/>
    <m/>
    <m/>
    <x v="0"/>
    <m/>
    <m/>
    <x v="51"/>
    <m/>
    <m/>
    <x v="2"/>
  </r>
  <r>
    <m/>
    <m/>
    <m/>
    <m/>
    <m/>
    <m/>
    <x v="0"/>
    <m/>
    <m/>
    <x v="51"/>
    <m/>
    <m/>
    <x v="2"/>
  </r>
  <r>
    <m/>
    <m/>
    <m/>
    <m/>
    <m/>
    <m/>
    <x v="0"/>
    <m/>
    <m/>
    <x v="51"/>
    <m/>
    <m/>
    <x v="2"/>
  </r>
  <r>
    <m/>
    <m/>
    <m/>
    <m/>
    <m/>
    <m/>
    <x v="0"/>
    <m/>
    <m/>
    <x v="51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4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outline="1" outlineData="1" multipleFieldFilters="0">
  <location ref="A3:G10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dataField="1" showAll="0">
      <items count="93">
        <item x="76"/>
        <item x="22"/>
        <item x="59"/>
        <item x="23"/>
        <item x="89"/>
        <item x="11"/>
        <item x="55"/>
        <item x="3"/>
        <item x="24"/>
        <item x="15"/>
        <item x="20"/>
        <item x="13"/>
        <item x="49"/>
        <item x="2"/>
        <item x="73"/>
        <item x="79"/>
        <item x="61"/>
        <item x="48"/>
        <item x="81"/>
        <item x="37"/>
        <item x="21"/>
        <item x="4"/>
        <item x="82"/>
        <item x="8"/>
        <item x="46"/>
        <item x="12"/>
        <item x="43"/>
        <item x="5"/>
        <item x="56"/>
        <item x="60"/>
        <item x="85"/>
        <item x="45"/>
        <item x="77"/>
        <item x="19"/>
        <item x="1"/>
        <item x="71"/>
        <item x="80"/>
        <item x="83"/>
        <item x="14"/>
        <item x="67"/>
        <item x="75"/>
        <item x="44"/>
        <item x="78"/>
        <item x="47"/>
        <item x="28"/>
        <item x="52"/>
        <item x="57"/>
        <item x="54"/>
        <item x="74"/>
        <item x="31"/>
        <item x="70"/>
        <item x="30"/>
        <item x="72"/>
        <item x="64"/>
        <item x="39"/>
        <item x="42"/>
        <item x="69"/>
        <item x="88"/>
        <item x="53"/>
        <item x="50"/>
        <item x="9"/>
        <item x="7"/>
        <item x="29"/>
        <item x="86"/>
        <item x="16"/>
        <item x="68"/>
        <item x="6"/>
        <item x="38"/>
        <item x="32"/>
        <item x="25"/>
        <item x="40"/>
        <item x="18"/>
        <item x="87"/>
        <item x="90"/>
        <item x="63"/>
        <item x="10"/>
        <item x="84"/>
        <item x="0"/>
        <item x="65"/>
        <item x="66"/>
        <item x="33"/>
        <item x="17"/>
        <item x="35"/>
        <item x="41"/>
        <item x="34"/>
        <item x="27"/>
        <item x="58"/>
        <item x="62"/>
        <item x="26"/>
        <item x="36"/>
        <item x="91"/>
        <item x="51"/>
        <item t="default"/>
      </items>
    </pivotField>
    <pivotField showAll="0"/>
    <pivotField showAll="0"/>
    <pivotField axis="axisCol" showAll="0">
      <items count="6">
        <item x="4"/>
        <item x="0"/>
        <item x="1"/>
        <item x="3"/>
        <item x="2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加總 - Outgoing" fld="9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/>
  </sheetViews>
  <sheetFormatPr defaultRowHeight="15.75" x14ac:dyDescent="0.25"/>
  <cols>
    <col min="1" max="1" width="5.42578125" customWidth="1"/>
    <col min="2" max="2" width="12.7109375" customWidth="1"/>
    <col min="3" max="3" width="12.28515625" customWidth="1"/>
    <col min="4" max="4" width="41.85546875" customWidth="1"/>
    <col min="5" max="5" width="27.42578125" customWidth="1"/>
    <col min="6" max="6" width="17.42578125" bestFit="1" customWidth="1"/>
    <col min="7" max="7" width="14.42578125" bestFit="1" customWidth="1"/>
    <col min="8" max="9" width="10.42578125" customWidth="1"/>
    <col min="10" max="10" width="13.5703125" customWidth="1"/>
    <col min="11" max="11" width="13.7109375" customWidth="1"/>
    <col min="12" max="12" width="16.28515625" bestFit="1" customWidth="1"/>
    <col min="13" max="13" width="13.140625" style="70" customWidth="1"/>
    <col min="15" max="15" width="12.140625" customWidth="1"/>
  </cols>
  <sheetData>
    <row r="1" spans="1:15" ht="18" x14ac:dyDescent="0.25">
      <c r="B1" s="222" t="s">
        <v>0</v>
      </c>
      <c r="C1" s="223"/>
      <c r="D1" s="223"/>
      <c r="E1" s="223"/>
      <c r="F1" s="223"/>
      <c r="G1" s="223"/>
      <c r="H1" s="223"/>
      <c r="I1" s="223"/>
      <c r="J1" s="223"/>
      <c r="K1" s="223"/>
      <c r="L1" s="224"/>
    </row>
    <row r="2" spans="1:15" x14ac:dyDescent="0.25">
      <c r="B2" s="1"/>
      <c r="L2" s="2"/>
    </row>
    <row r="3" spans="1:15" x14ac:dyDescent="0.25">
      <c r="B3" s="3" t="s">
        <v>1</v>
      </c>
      <c r="C3" s="227">
        <v>46082</v>
      </c>
      <c r="D3" s="227"/>
      <c r="E3" s="15"/>
      <c r="F3" s="15"/>
      <c r="L3" s="2"/>
    </row>
    <row r="4" spans="1:15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6"/>
    </row>
    <row r="5" spans="1:15" ht="47.25" x14ac:dyDescent="0.25">
      <c r="B5" s="26" t="s">
        <v>2</v>
      </c>
      <c r="C5" s="26" t="s">
        <v>3</v>
      </c>
      <c r="D5" s="27" t="s">
        <v>87</v>
      </c>
      <c r="E5" s="27" t="s">
        <v>51</v>
      </c>
      <c r="F5" s="27" t="s">
        <v>15</v>
      </c>
      <c r="G5" s="27" t="s">
        <v>4</v>
      </c>
      <c r="H5" s="27" t="s">
        <v>93</v>
      </c>
      <c r="I5" s="27" t="s">
        <v>73</v>
      </c>
      <c r="J5" s="27" t="s">
        <v>57</v>
      </c>
      <c r="K5" s="27" t="s">
        <v>5</v>
      </c>
      <c r="L5" s="63" t="s">
        <v>6</v>
      </c>
      <c r="M5" s="74" t="s">
        <v>90</v>
      </c>
    </row>
    <row r="6" spans="1:15" x14ac:dyDescent="0.25">
      <c r="B6" s="10"/>
      <c r="C6" s="10"/>
      <c r="D6" s="11"/>
      <c r="E6" s="11"/>
      <c r="F6" s="11"/>
      <c r="G6" s="12">
        <v>200000</v>
      </c>
      <c r="H6" s="12"/>
      <c r="I6" s="12"/>
      <c r="J6" s="29"/>
      <c r="K6" s="12"/>
      <c r="L6" s="64">
        <v>200000</v>
      </c>
      <c r="M6" s="71"/>
      <c r="N6" s="19"/>
      <c r="O6" s="19"/>
    </row>
    <row r="7" spans="1:15" x14ac:dyDescent="0.25">
      <c r="A7">
        <v>1</v>
      </c>
      <c r="B7" s="10">
        <v>46145</v>
      </c>
      <c r="C7" s="10">
        <v>46329</v>
      </c>
      <c r="D7" s="11" t="s">
        <v>7</v>
      </c>
      <c r="E7" s="11" t="s">
        <v>54</v>
      </c>
      <c r="F7" s="11"/>
      <c r="G7" s="23"/>
      <c r="H7" s="37" t="s">
        <v>74</v>
      </c>
      <c r="I7" s="12"/>
      <c r="J7" s="28" t="s">
        <v>59</v>
      </c>
      <c r="K7" s="12">
        <v>330</v>
      </c>
      <c r="L7" s="64">
        <f t="shared" ref="L7:L18" si="0">L6-K7</f>
        <v>199670</v>
      </c>
      <c r="M7" s="72" t="s">
        <v>92</v>
      </c>
    </row>
    <row r="8" spans="1:15" x14ac:dyDescent="0.25">
      <c r="A8" s="39">
        <v>2</v>
      </c>
      <c r="B8" s="40">
        <v>46145</v>
      </c>
      <c r="C8" s="40">
        <v>46329</v>
      </c>
      <c r="D8" s="41" t="s">
        <v>8</v>
      </c>
      <c r="E8" s="41" t="s">
        <v>52</v>
      </c>
      <c r="F8" s="41"/>
      <c r="G8" s="42"/>
      <c r="H8" s="42" t="s">
        <v>75</v>
      </c>
      <c r="I8" s="42" t="s">
        <v>59</v>
      </c>
      <c r="J8" s="42" t="s">
        <v>59</v>
      </c>
      <c r="K8" s="42">
        <v>5257</v>
      </c>
      <c r="L8" s="65">
        <f t="shared" si="0"/>
        <v>194413</v>
      </c>
      <c r="M8" s="72" t="s">
        <v>92</v>
      </c>
    </row>
    <row r="9" spans="1:15" x14ac:dyDescent="0.25">
      <c r="A9" s="39">
        <v>3</v>
      </c>
      <c r="B9" s="40">
        <v>46145</v>
      </c>
      <c r="C9" s="40">
        <v>46329</v>
      </c>
      <c r="D9" s="41" t="s">
        <v>9</v>
      </c>
      <c r="E9" s="41" t="s">
        <v>72</v>
      </c>
      <c r="F9" s="41"/>
      <c r="G9" s="42"/>
      <c r="H9" s="42" t="s">
        <v>75</v>
      </c>
      <c r="I9" s="42"/>
      <c r="J9" s="42" t="s">
        <v>59</v>
      </c>
      <c r="K9" s="42">
        <v>3835</v>
      </c>
      <c r="L9" s="65">
        <f t="shared" si="0"/>
        <v>190578</v>
      </c>
      <c r="M9" s="72" t="s">
        <v>92</v>
      </c>
    </row>
    <row r="10" spans="1:15" x14ac:dyDescent="0.25">
      <c r="A10">
        <v>4</v>
      </c>
      <c r="B10" s="10">
        <v>46206</v>
      </c>
      <c r="C10" s="10">
        <v>46329</v>
      </c>
      <c r="D10" s="11" t="s">
        <v>10</v>
      </c>
      <c r="E10" s="11" t="s">
        <v>55</v>
      </c>
      <c r="F10" s="11"/>
      <c r="G10" s="23"/>
      <c r="H10" s="37" t="s">
        <v>74</v>
      </c>
      <c r="I10" s="12"/>
      <c r="J10" s="28" t="s">
        <v>59</v>
      </c>
      <c r="K10" s="12">
        <v>300</v>
      </c>
      <c r="L10" s="64">
        <f t="shared" si="0"/>
        <v>190278</v>
      </c>
      <c r="M10" s="72" t="s">
        <v>92</v>
      </c>
    </row>
    <row r="11" spans="1:15" x14ac:dyDescent="0.25">
      <c r="A11" s="39">
        <v>5</v>
      </c>
      <c r="B11" s="40">
        <v>46268</v>
      </c>
      <c r="C11" s="40">
        <v>46329</v>
      </c>
      <c r="D11" s="41" t="s">
        <v>11</v>
      </c>
      <c r="E11" s="41" t="s">
        <v>56</v>
      </c>
      <c r="F11" s="41"/>
      <c r="G11" s="42"/>
      <c r="H11" s="42" t="s">
        <v>75</v>
      </c>
      <c r="I11" s="42"/>
      <c r="J11" s="42" t="s">
        <v>59</v>
      </c>
      <c r="K11" s="42">
        <v>2808</v>
      </c>
      <c r="L11" s="64">
        <f t="shared" si="0"/>
        <v>187470</v>
      </c>
      <c r="M11" s="72" t="s">
        <v>92</v>
      </c>
    </row>
    <row r="12" spans="1:15" x14ac:dyDescent="0.25">
      <c r="A12">
        <v>6</v>
      </c>
      <c r="B12" s="10">
        <v>46268</v>
      </c>
      <c r="C12" s="10">
        <v>46329</v>
      </c>
      <c r="D12" s="11" t="s">
        <v>7</v>
      </c>
      <c r="E12" s="11" t="s">
        <v>54</v>
      </c>
      <c r="F12" s="11"/>
      <c r="G12" s="23"/>
      <c r="H12" s="37" t="s">
        <v>74</v>
      </c>
      <c r="I12" s="12"/>
      <c r="J12" s="28" t="s">
        <v>59</v>
      </c>
      <c r="K12" s="12">
        <v>1170</v>
      </c>
      <c r="L12" s="64">
        <f t="shared" si="0"/>
        <v>186300</v>
      </c>
      <c r="M12" s="72" t="s">
        <v>92</v>
      </c>
    </row>
    <row r="13" spans="1:15" x14ac:dyDescent="0.25">
      <c r="A13" s="39">
        <v>7</v>
      </c>
      <c r="B13" s="40">
        <v>46237</v>
      </c>
      <c r="C13" s="40" t="s">
        <v>12</v>
      </c>
      <c r="D13" s="41" t="s">
        <v>11</v>
      </c>
      <c r="E13" s="41"/>
      <c r="F13" s="41"/>
      <c r="G13" s="42"/>
      <c r="H13" s="42" t="s">
        <v>77</v>
      </c>
      <c r="I13" s="42"/>
      <c r="J13" s="42" t="s">
        <v>58</v>
      </c>
      <c r="K13" s="42">
        <v>21588</v>
      </c>
      <c r="L13" s="65">
        <f t="shared" si="0"/>
        <v>164712</v>
      </c>
      <c r="M13" s="72" t="s">
        <v>92</v>
      </c>
    </row>
    <row r="14" spans="1:15" x14ac:dyDescent="0.25">
      <c r="A14" s="39">
        <v>8</v>
      </c>
      <c r="B14" s="40">
        <v>46359</v>
      </c>
      <c r="C14" s="40" t="s">
        <v>12</v>
      </c>
      <c r="D14" s="41" t="s">
        <v>8</v>
      </c>
      <c r="E14" s="41" t="s">
        <v>52</v>
      </c>
      <c r="F14" s="41"/>
      <c r="G14" s="42"/>
      <c r="H14" s="42" t="s">
        <v>75</v>
      </c>
      <c r="I14" s="42" t="s">
        <v>59</v>
      </c>
      <c r="J14" s="42" t="s">
        <v>59</v>
      </c>
      <c r="K14" s="42">
        <v>2177</v>
      </c>
      <c r="L14" s="65">
        <f t="shared" si="0"/>
        <v>162535</v>
      </c>
      <c r="M14" s="72" t="s">
        <v>92</v>
      </c>
    </row>
    <row r="15" spans="1:15" x14ac:dyDescent="0.25">
      <c r="A15" s="39">
        <v>9</v>
      </c>
      <c r="B15" s="40">
        <v>46359</v>
      </c>
      <c r="C15" s="40" t="s">
        <v>12</v>
      </c>
      <c r="D15" s="41" t="s">
        <v>53</v>
      </c>
      <c r="E15" s="41" t="s">
        <v>52</v>
      </c>
      <c r="F15" s="41"/>
      <c r="G15" s="42"/>
      <c r="H15" s="42" t="s">
        <v>76</v>
      </c>
      <c r="I15" s="42" t="s">
        <v>59</v>
      </c>
      <c r="J15" s="42" t="s">
        <v>59</v>
      </c>
      <c r="K15" s="42">
        <v>13157</v>
      </c>
      <c r="L15" s="65">
        <f t="shared" si="0"/>
        <v>149378</v>
      </c>
      <c r="M15" s="72" t="s">
        <v>92</v>
      </c>
    </row>
    <row r="16" spans="1:15" x14ac:dyDescent="0.25">
      <c r="A16">
        <v>10</v>
      </c>
      <c r="B16" s="10" t="s">
        <v>20</v>
      </c>
      <c r="C16" s="10" t="s">
        <v>20</v>
      </c>
      <c r="D16" s="11" t="s">
        <v>16</v>
      </c>
      <c r="E16" s="11" t="s">
        <v>60</v>
      </c>
      <c r="F16" s="11"/>
      <c r="G16" s="12"/>
      <c r="H16" s="37" t="s">
        <v>74</v>
      </c>
      <c r="I16" s="12"/>
      <c r="J16" s="28" t="s">
        <v>59</v>
      </c>
      <c r="K16" s="12">
        <v>9900</v>
      </c>
      <c r="L16" s="64">
        <f>L15-K16</f>
        <v>139478</v>
      </c>
      <c r="M16" s="72" t="s">
        <v>92</v>
      </c>
    </row>
    <row r="17" spans="1:14" x14ac:dyDescent="0.25">
      <c r="A17">
        <v>11</v>
      </c>
      <c r="B17" s="10" t="s">
        <v>21</v>
      </c>
      <c r="C17" s="10" t="s">
        <v>20</v>
      </c>
      <c r="D17" s="11" t="s">
        <v>17</v>
      </c>
      <c r="E17" s="30"/>
      <c r="F17" s="11"/>
      <c r="G17" s="12"/>
      <c r="H17" s="37" t="s">
        <v>74</v>
      </c>
      <c r="I17" s="12"/>
      <c r="J17" s="22" t="s">
        <v>58</v>
      </c>
      <c r="K17" s="12">
        <v>600</v>
      </c>
      <c r="L17" s="64">
        <f t="shared" si="0"/>
        <v>138878</v>
      </c>
      <c r="M17" s="72" t="s">
        <v>92</v>
      </c>
      <c r="N17" s="72" t="s">
        <v>49</v>
      </c>
    </row>
    <row r="18" spans="1:14" x14ac:dyDescent="0.25">
      <c r="A18">
        <v>12</v>
      </c>
      <c r="B18" s="10" t="s">
        <v>22</v>
      </c>
      <c r="C18" s="10" t="s">
        <v>22</v>
      </c>
      <c r="D18" s="11" t="s">
        <v>18</v>
      </c>
      <c r="E18" s="30"/>
      <c r="F18" s="11"/>
      <c r="G18" s="12"/>
      <c r="H18" s="37" t="s">
        <v>74</v>
      </c>
      <c r="I18" s="12"/>
      <c r="J18" s="28" t="s">
        <v>59</v>
      </c>
      <c r="K18" s="12">
        <v>5500</v>
      </c>
      <c r="L18" s="64">
        <f t="shared" si="0"/>
        <v>133378</v>
      </c>
      <c r="M18" s="72" t="s">
        <v>92</v>
      </c>
    </row>
    <row r="19" spans="1:14" x14ac:dyDescent="0.25">
      <c r="A19">
        <v>13</v>
      </c>
      <c r="B19" s="7" t="s">
        <v>23</v>
      </c>
      <c r="C19" s="7" t="s">
        <v>23</v>
      </c>
      <c r="D19" s="11" t="s">
        <v>61</v>
      </c>
      <c r="E19" s="30"/>
      <c r="F19" s="11"/>
      <c r="G19" s="9"/>
      <c r="H19" s="37" t="s">
        <v>74</v>
      </c>
      <c r="I19" s="9"/>
      <c r="J19" s="28" t="s">
        <v>59</v>
      </c>
      <c r="K19" s="12">
        <v>5400</v>
      </c>
      <c r="L19" s="64">
        <f>L18-K19</f>
        <v>127978</v>
      </c>
      <c r="M19" s="72" t="s">
        <v>92</v>
      </c>
    </row>
    <row r="20" spans="1:14" s="59" customFormat="1" x14ac:dyDescent="0.25">
      <c r="A20" s="59">
        <v>14</v>
      </c>
      <c r="B20" s="50" t="s">
        <v>78</v>
      </c>
      <c r="C20" s="50" t="s">
        <v>78</v>
      </c>
      <c r="D20" s="51" t="s">
        <v>79</v>
      </c>
      <c r="E20" s="51"/>
      <c r="F20" s="51"/>
      <c r="G20" s="29"/>
      <c r="H20" s="52"/>
      <c r="I20" s="29"/>
      <c r="J20" s="29"/>
      <c r="K20" s="29">
        <v>5700</v>
      </c>
      <c r="L20" s="66">
        <f t="shared" ref="L20:L43" si="1">L19-K20</f>
        <v>122278</v>
      </c>
      <c r="M20" s="72" t="s">
        <v>92</v>
      </c>
    </row>
    <row r="21" spans="1:14" x14ac:dyDescent="0.25">
      <c r="A21">
        <v>15</v>
      </c>
      <c r="B21" s="7" t="s">
        <v>23</v>
      </c>
      <c r="C21" s="7" t="s">
        <v>25</v>
      </c>
      <c r="D21" s="8" t="s">
        <v>11</v>
      </c>
      <c r="E21" s="8" t="s">
        <v>62</v>
      </c>
      <c r="F21" s="8"/>
      <c r="G21" s="9"/>
      <c r="H21" s="38" t="s">
        <v>75</v>
      </c>
      <c r="I21" s="9"/>
      <c r="J21" s="28" t="s">
        <v>59</v>
      </c>
      <c r="K21" s="16">
        <v>3998</v>
      </c>
      <c r="L21" s="64">
        <f t="shared" si="1"/>
        <v>118280</v>
      </c>
      <c r="M21" s="72" t="s">
        <v>92</v>
      </c>
    </row>
    <row r="22" spans="1:14" x14ac:dyDescent="0.25">
      <c r="A22">
        <v>16</v>
      </c>
      <c r="B22" s="7" t="s">
        <v>23</v>
      </c>
      <c r="C22" s="7" t="s">
        <v>32</v>
      </c>
      <c r="D22" s="8" t="s">
        <v>11</v>
      </c>
      <c r="E22" s="8" t="s">
        <v>62</v>
      </c>
      <c r="F22" s="8"/>
      <c r="G22" s="9"/>
      <c r="H22" s="38" t="s">
        <v>75</v>
      </c>
      <c r="I22" s="9"/>
      <c r="J22" s="28" t="s">
        <v>59</v>
      </c>
      <c r="K22" s="12">
        <v>2100</v>
      </c>
      <c r="L22" s="64">
        <f t="shared" si="1"/>
        <v>116180</v>
      </c>
      <c r="M22" s="72" t="s">
        <v>92</v>
      </c>
    </row>
    <row r="23" spans="1:14" x14ac:dyDescent="0.25">
      <c r="A23">
        <v>17</v>
      </c>
      <c r="B23" s="7" t="s">
        <v>23</v>
      </c>
      <c r="C23" s="7" t="s">
        <v>33</v>
      </c>
      <c r="D23" s="20" t="s">
        <v>45</v>
      </c>
      <c r="E23" s="8" t="s">
        <v>62</v>
      </c>
      <c r="F23" s="8"/>
      <c r="G23" s="9"/>
      <c r="H23" s="38" t="s">
        <v>75</v>
      </c>
      <c r="I23" s="9"/>
      <c r="J23" s="28" t="s">
        <v>59</v>
      </c>
      <c r="K23" s="12">
        <v>2840</v>
      </c>
      <c r="L23" s="64">
        <f t="shared" si="1"/>
        <v>113340</v>
      </c>
      <c r="M23" s="72" t="s">
        <v>92</v>
      </c>
    </row>
    <row r="24" spans="1:14" x14ac:dyDescent="0.25">
      <c r="A24">
        <v>18</v>
      </c>
      <c r="B24" s="7" t="s">
        <v>23</v>
      </c>
      <c r="C24" s="7" t="s">
        <v>23</v>
      </c>
      <c r="D24" s="8" t="s">
        <v>19</v>
      </c>
      <c r="E24" s="8" t="s">
        <v>63</v>
      </c>
      <c r="F24" s="8"/>
      <c r="G24" s="9"/>
      <c r="H24" s="37" t="s">
        <v>74</v>
      </c>
      <c r="I24" s="9"/>
      <c r="J24" s="28" t="s">
        <v>59</v>
      </c>
      <c r="K24" s="17">
        <v>140</v>
      </c>
      <c r="L24" s="64">
        <f t="shared" si="1"/>
        <v>113200</v>
      </c>
      <c r="M24" s="72" t="s">
        <v>92</v>
      </c>
    </row>
    <row r="25" spans="1:14" s="43" customFormat="1" x14ac:dyDescent="0.25">
      <c r="A25" s="45">
        <v>19</v>
      </c>
      <c r="B25" s="44" t="s">
        <v>78</v>
      </c>
      <c r="C25" s="44" t="s">
        <v>80</v>
      </c>
      <c r="D25" s="45" t="s">
        <v>79</v>
      </c>
      <c r="E25" s="45"/>
      <c r="F25" s="45"/>
      <c r="G25" s="46"/>
      <c r="H25" s="47"/>
      <c r="I25" s="46"/>
      <c r="J25" s="46"/>
      <c r="K25" s="48">
        <v>3886</v>
      </c>
      <c r="L25" s="67">
        <f t="shared" si="1"/>
        <v>109314</v>
      </c>
      <c r="M25" s="72" t="s">
        <v>92</v>
      </c>
    </row>
    <row r="26" spans="1:14" x14ac:dyDescent="0.25">
      <c r="A26">
        <v>20</v>
      </c>
      <c r="B26" s="7" t="s">
        <v>23</v>
      </c>
      <c r="C26" s="7" t="s">
        <v>23</v>
      </c>
      <c r="D26" s="8" t="s">
        <v>24</v>
      </c>
      <c r="E26" s="8"/>
      <c r="F26" s="8"/>
      <c r="G26" s="9"/>
      <c r="H26" s="38" t="s">
        <v>75</v>
      </c>
      <c r="I26" s="9"/>
      <c r="J26" s="28" t="s">
        <v>59</v>
      </c>
      <c r="K26" s="9">
        <v>5000</v>
      </c>
      <c r="L26" s="64">
        <f t="shared" si="1"/>
        <v>104314</v>
      </c>
      <c r="M26" s="72" t="s">
        <v>92</v>
      </c>
    </row>
    <row r="27" spans="1:14" x14ac:dyDescent="0.25">
      <c r="A27">
        <v>21</v>
      </c>
      <c r="B27" s="7" t="s">
        <v>25</v>
      </c>
      <c r="C27" s="7" t="s">
        <v>38</v>
      </c>
      <c r="D27" s="8" t="s">
        <v>27</v>
      </c>
      <c r="E27" s="8" t="s">
        <v>64</v>
      </c>
      <c r="F27" s="8"/>
      <c r="G27" s="9"/>
      <c r="H27" s="37" t="s">
        <v>74</v>
      </c>
      <c r="I27" s="28" t="s">
        <v>59</v>
      </c>
      <c r="J27" s="28" t="s">
        <v>59</v>
      </c>
      <c r="K27" s="12">
        <v>24426</v>
      </c>
      <c r="L27" s="64">
        <f t="shared" si="1"/>
        <v>79888</v>
      </c>
      <c r="M27" s="72" t="s">
        <v>92</v>
      </c>
    </row>
    <row r="28" spans="1:14" x14ac:dyDescent="0.25">
      <c r="A28">
        <v>22</v>
      </c>
      <c r="B28" s="7" t="s">
        <v>25</v>
      </c>
      <c r="C28" s="7" t="s">
        <v>38</v>
      </c>
      <c r="D28" s="8" t="s">
        <v>28</v>
      </c>
      <c r="E28" s="8"/>
      <c r="F28" s="8"/>
      <c r="G28" s="9"/>
      <c r="H28" s="37" t="s">
        <v>74</v>
      </c>
      <c r="I28" s="9"/>
      <c r="J28" s="22" t="s">
        <v>58</v>
      </c>
      <c r="K28" s="12">
        <v>2000</v>
      </c>
      <c r="L28" s="64">
        <f t="shared" si="1"/>
        <v>77888</v>
      </c>
      <c r="M28" s="72" t="s">
        <v>92</v>
      </c>
      <c r="N28" s="72" t="s">
        <v>49</v>
      </c>
    </row>
    <row r="29" spans="1:14" x14ac:dyDescent="0.25">
      <c r="A29">
        <v>23</v>
      </c>
      <c r="B29" s="7" t="s">
        <v>25</v>
      </c>
      <c r="C29" s="7" t="s">
        <v>38</v>
      </c>
      <c r="D29" s="8" t="s">
        <v>29</v>
      </c>
      <c r="E29" s="8" t="s">
        <v>63</v>
      </c>
      <c r="F29" s="8"/>
      <c r="G29" s="9"/>
      <c r="H29" s="37" t="s">
        <v>74</v>
      </c>
      <c r="I29" s="9"/>
      <c r="J29" s="28" t="s">
        <v>59</v>
      </c>
      <c r="K29" s="12">
        <v>21500</v>
      </c>
      <c r="L29" s="64">
        <f t="shared" si="1"/>
        <v>56388</v>
      </c>
      <c r="M29" s="72" t="s">
        <v>92</v>
      </c>
    </row>
    <row r="30" spans="1:14" x14ac:dyDescent="0.25">
      <c r="A30">
        <v>24</v>
      </c>
      <c r="B30" s="7" t="s">
        <v>25</v>
      </c>
      <c r="C30" s="7" t="s">
        <v>26</v>
      </c>
      <c r="D30" s="8" t="s">
        <v>30</v>
      </c>
      <c r="E30" s="8" t="s">
        <v>65</v>
      </c>
      <c r="F30" s="8"/>
      <c r="G30" s="9"/>
      <c r="H30" s="37" t="s">
        <v>74</v>
      </c>
      <c r="I30" s="9"/>
      <c r="J30" s="28" t="s">
        <v>59</v>
      </c>
      <c r="K30" s="12">
        <v>600</v>
      </c>
      <c r="L30" s="64">
        <f t="shared" si="1"/>
        <v>55788</v>
      </c>
      <c r="M30" s="72" t="s">
        <v>92</v>
      </c>
    </row>
    <row r="31" spans="1:14" ht="29.25" x14ac:dyDescent="0.25">
      <c r="A31">
        <v>25</v>
      </c>
      <c r="B31" s="7" t="s">
        <v>26</v>
      </c>
      <c r="C31" s="7" t="s">
        <v>26</v>
      </c>
      <c r="D31" s="31" t="s">
        <v>40</v>
      </c>
      <c r="E31" s="11" t="s">
        <v>52</v>
      </c>
      <c r="F31" s="8"/>
      <c r="G31" s="9"/>
      <c r="H31" s="38" t="s">
        <v>75</v>
      </c>
      <c r="I31" s="28" t="s">
        <v>59</v>
      </c>
      <c r="J31" s="28" t="s">
        <v>59</v>
      </c>
      <c r="K31" s="12">
        <v>19068</v>
      </c>
      <c r="L31" s="64">
        <f t="shared" si="1"/>
        <v>36720</v>
      </c>
      <c r="M31" s="72" t="s">
        <v>92</v>
      </c>
    </row>
    <row r="32" spans="1:14" x14ac:dyDescent="0.25">
      <c r="A32">
        <v>26</v>
      </c>
      <c r="B32" s="7" t="s">
        <v>26</v>
      </c>
      <c r="C32" s="7" t="s">
        <v>38</v>
      </c>
      <c r="D32" s="8" t="s">
        <v>31</v>
      </c>
      <c r="E32" s="8" t="s">
        <v>63</v>
      </c>
      <c r="F32" s="8"/>
      <c r="G32" s="9"/>
      <c r="H32" s="37" t="s">
        <v>74</v>
      </c>
      <c r="I32" s="9"/>
      <c r="J32" s="28" t="s">
        <v>59</v>
      </c>
      <c r="K32" s="12">
        <v>1380</v>
      </c>
      <c r="L32" s="64">
        <f t="shared" si="1"/>
        <v>35340</v>
      </c>
      <c r="M32" s="72" t="s">
        <v>92</v>
      </c>
    </row>
    <row r="33" spans="1:14" x14ac:dyDescent="0.25">
      <c r="A33">
        <v>27</v>
      </c>
      <c r="B33" s="7" t="s">
        <v>37</v>
      </c>
      <c r="C33" s="7" t="s">
        <v>38</v>
      </c>
      <c r="D33" s="8" t="s">
        <v>34</v>
      </c>
      <c r="E33" s="8" t="s">
        <v>66</v>
      </c>
      <c r="F33" s="9"/>
      <c r="G33" s="18"/>
      <c r="H33" s="37" t="s">
        <v>74</v>
      </c>
      <c r="I33" s="18"/>
      <c r="J33" s="28" t="s">
        <v>59</v>
      </c>
      <c r="K33" s="12">
        <v>10000</v>
      </c>
      <c r="L33" s="64">
        <f t="shared" si="1"/>
        <v>25340</v>
      </c>
      <c r="M33" s="72" t="s">
        <v>92</v>
      </c>
    </row>
    <row r="34" spans="1:14" x14ac:dyDescent="0.25">
      <c r="A34">
        <v>28</v>
      </c>
      <c r="B34" s="7" t="s">
        <v>37</v>
      </c>
      <c r="C34" s="7" t="s">
        <v>38</v>
      </c>
      <c r="D34" s="8" t="s">
        <v>35</v>
      </c>
      <c r="E34" s="8"/>
      <c r="F34" s="9"/>
      <c r="G34" s="18"/>
      <c r="H34" s="37" t="s">
        <v>74</v>
      </c>
      <c r="I34" s="18"/>
      <c r="J34" s="22" t="s">
        <v>58</v>
      </c>
      <c r="K34" s="12">
        <v>1000</v>
      </c>
      <c r="L34" s="64">
        <f t="shared" si="1"/>
        <v>24340</v>
      </c>
      <c r="M34" s="72" t="s">
        <v>92</v>
      </c>
      <c r="N34" s="72" t="s">
        <v>91</v>
      </c>
    </row>
    <row r="35" spans="1:14" x14ac:dyDescent="0.25">
      <c r="A35">
        <v>29</v>
      </c>
      <c r="B35" s="7" t="s">
        <v>37</v>
      </c>
      <c r="C35" s="7" t="s">
        <v>38</v>
      </c>
      <c r="D35" s="8" t="s">
        <v>36</v>
      </c>
      <c r="E35" s="8"/>
      <c r="F35" s="9"/>
      <c r="G35" s="18"/>
      <c r="H35" s="37" t="s">
        <v>74</v>
      </c>
      <c r="I35" s="18"/>
      <c r="J35" s="28" t="s">
        <v>59</v>
      </c>
      <c r="K35" s="12">
        <v>6000</v>
      </c>
      <c r="L35" s="64">
        <f t="shared" si="1"/>
        <v>18340</v>
      </c>
      <c r="M35" s="72" t="s">
        <v>92</v>
      </c>
    </row>
    <row r="36" spans="1:14" x14ac:dyDescent="0.25">
      <c r="A36">
        <v>30</v>
      </c>
      <c r="B36" s="7" t="s">
        <v>38</v>
      </c>
      <c r="C36" s="7" t="s">
        <v>38</v>
      </c>
      <c r="D36" s="8" t="s">
        <v>39</v>
      </c>
      <c r="E36" s="8" t="s">
        <v>62</v>
      </c>
      <c r="F36" s="9"/>
      <c r="G36" s="18"/>
      <c r="H36" s="38" t="s">
        <v>75</v>
      </c>
      <c r="I36" s="18"/>
      <c r="J36" s="28" t="s">
        <v>59</v>
      </c>
      <c r="K36" s="12">
        <v>1650</v>
      </c>
      <c r="L36" s="64">
        <f t="shared" si="1"/>
        <v>16690</v>
      </c>
      <c r="M36" s="72" t="s">
        <v>92</v>
      </c>
    </row>
    <row r="37" spans="1:14" x14ac:dyDescent="0.25">
      <c r="A37">
        <v>31</v>
      </c>
      <c r="B37" s="7" t="s">
        <v>38</v>
      </c>
      <c r="C37" s="7" t="s">
        <v>38</v>
      </c>
      <c r="D37" s="21" t="s">
        <v>41</v>
      </c>
      <c r="E37" s="21" t="s">
        <v>67</v>
      </c>
      <c r="F37" s="9"/>
      <c r="G37" s="18"/>
      <c r="H37" s="38" t="s">
        <v>75</v>
      </c>
      <c r="I37" s="18"/>
      <c r="J37" s="28" t="s">
        <v>59</v>
      </c>
      <c r="K37" s="12">
        <v>10000</v>
      </c>
      <c r="L37" s="64">
        <f t="shared" si="1"/>
        <v>6690</v>
      </c>
      <c r="M37" s="72" t="s">
        <v>92</v>
      </c>
    </row>
    <row r="38" spans="1:14" x14ac:dyDescent="0.25">
      <c r="A38">
        <v>32</v>
      </c>
      <c r="B38" s="7" t="s">
        <v>38</v>
      </c>
      <c r="C38" s="7" t="s">
        <v>38</v>
      </c>
      <c r="D38" s="21" t="s">
        <v>69</v>
      </c>
      <c r="E38" s="21" t="s">
        <v>68</v>
      </c>
      <c r="F38" s="8"/>
      <c r="G38" s="9"/>
      <c r="H38" s="38" t="s">
        <v>75</v>
      </c>
      <c r="I38" s="9"/>
      <c r="J38" s="28" t="s">
        <v>59</v>
      </c>
      <c r="K38" s="12">
        <v>1950</v>
      </c>
      <c r="L38" s="64">
        <f t="shared" si="1"/>
        <v>4740</v>
      </c>
      <c r="M38" s="72" t="s">
        <v>92</v>
      </c>
    </row>
    <row r="39" spans="1:14" ht="29.25" x14ac:dyDescent="0.25">
      <c r="A39">
        <v>33</v>
      </c>
      <c r="B39" s="7" t="s">
        <v>38</v>
      </c>
      <c r="C39" s="7" t="s">
        <v>38</v>
      </c>
      <c r="D39" s="32" t="s">
        <v>42</v>
      </c>
      <c r="E39" s="21" t="s">
        <v>56</v>
      </c>
      <c r="F39" s="8"/>
      <c r="G39" s="9"/>
      <c r="H39" s="38" t="s">
        <v>75</v>
      </c>
      <c r="I39" s="9"/>
      <c r="J39" s="28" t="s">
        <v>59</v>
      </c>
      <c r="K39" s="12">
        <v>5290</v>
      </c>
      <c r="L39" s="64">
        <f t="shared" si="1"/>
        <v>-550</v>
      </c>
      <c r="M39" s="72" t="s">
        <v>92</v>
      </c>
    </row>
    <row r="40" spans="1:14" x14ac:dyDescent="0.25">
      <c r="A40">
        <v>34</v>
      </c>
      <c r="B40" s="7" t="s">
        <v>38</v>
      </c>
      <c r="C40" s="7" t="s">
        <v>38</v>
      </c>
      <c r="D40" s="21" t="s">
        <v>43</v>
      </c>
      <c r="E40" s="21" t="s">
        <v>56</v>
      </c>
      <c r="F40" s="9"/>
      <c r="G40" s="18"/>
      <c r="H40" s="38" t="s">
        <v>75</v>
      </c>
      <c r="I40" s="18"/>
      <c r="J40" s="28" t="s">
        <v>59</v>
      </c>
      <c r="K40" s="12">
        <v>1728</v>
      </c>
      <c r="L40" s="64">
        <f t="shared" si="1"/>
        <v>-2278</v>
      </c>
      <c r="M40" s="72" t="s">
        <v>92</v>
      </c>
    </row>
    <row r="41" spans="1:14" x14ac:dyDescent="0.25">
      <c r="A41">
        <v>35</v>
      </c>
      <c r="B41" s="7" t="s">
        <v>38</v>
      </c>
      <c r="C41" s="7" t="s">
        <v>38</v>
      </c>
      <c r="D41" s="21" t="s">
        <v>44</v>
      </c>
      <c r="E41" s="21" t="s">
        <v>70</v>
      </c>
      <c r="F41" s="9"/>
      <c r="G41" s="18"/>
      <c r="H41" s="38" t="s">
        <v>75</v>
      </c>
      <c r="I41" s="18"/>
      <c r="J41" s="28" t="s">
        <v>59</v>
      </c>
      <c r="K41" s="12">
        <v>1017</v>
      </c>
      <c r="L41" s="64">
        <f t="shared" si="1"/>
        <v>-3295</v>
      </c>
      <c r="M41" s="72" t="s">
        <v>92</v>
      </c>
    </row>
    <row r="42" spans="1:14" s="59" customFormat="1" x14ac:dyDescent="0.25">
      <c r="A42" s="51">
        <v>36</v>
      </c>
      <c r="B42" s="56" t="s">
        <v>38</v>
      </c>
      <c r="C42" s="50" t="s">
        <v>38</v>
      </c>
      <c r="D42" s="51" t="s">
        <v>81</v>
      </c>
      <c r="E42" s="57"/>
      <c r="F42" s="29"/>
      <c r="G42" s="58"/>
      <c r="H42" s="38" t="s">
        <v>86</v>
      </c>
      <c r="I42" s="58"/>
      <c r="J42" s="28" t="s">
        <v>59</v>
      </c>
      <c r="K42" s="29">
        <v>4324</v>
      </c>
      <c r="L42" s="66">
        <f t="shared" si="1"/>
        <v>-7619</v>
      </c>
      <c r="M42" s="72" t="s">
        <v>92</v>
      </c>
    </row>
    <row r="43" spans="1:14" x14ac:dyDescent="0.25">
      <c r="A43" s="35">
        <v>37</v>
      </c>
      <c r="B43" s="34" t="s">
        <v>46</v>
      </c>
      <c r="C43" s="34" t="s">
        <v>46</v>
      </c>
      <c r="D43" s="35" t="s">
        <v>71</v>
      </c>
      <c r="E43" s="35"/>
      <c r="F43" s="35"/>
      <c r="G43" s="36"/>
      <c r="H43" s="37" t="s">
        <v>74</v>
      </c>
      <c r="I43" s="36"/>
      <c r="J43" s="36" t="s">
        <v>59</v>
      </c>
      <c r="K43" s="36">
        <v>448</v>
      </c>
      <c r="L43" s="68">
        <f t="shared" si="1"/>
        <v>-8067</v>
      </c>
      <c r="M43" s="72"/>
    </row>
    <row r="44" spans="1:14" x14ac:dyDescent="0.25">
      <c r="A44" s="51">
        <v>38</v>
      </c>
      <c r="B44" s="54"/>
      <c r="C44" s="54"/>
      <c r="F44" s="55" t="s">
        <v>82</v>
      </c>
      <c r="G44" s="53">
        <v>208067</v>
      </c>
      <c r="L44" s="53">
        <f>G44+L43</f>
        <v>200000</v>
      </c>
      <c r="M44" s="72"/>
    </row>
    <row r="45" spans="1:14" x14ac:dyDescent="0.25">
      <c r="A45" s="35">
        <v>39</v>
      </c>
      <c r="B45" s="50" t="s">
        <v>46</v>
      </c>
      <c r="C45" s="50" t="s">
        <v>46</v>
      </c>
      <c r="D45" s="51" t="s">
        <v>47</v>
      </c>
      <c r="E45" s="51"/>
      <c r="F45" s="51"/>
      <c r="G45" s="29"/>
      <c r="H45" s="37" t="s">
        <v>74</v>
      </c>
      <c r="I45" s="9"/>
      <c r="J45" s="28" t="s">
        <v>59</v>
      </c>
      <c r="K45" s="22">
        <v>850</v>
      </c>
      <c r="L45" s="64">
        <f>L44-K45</f>
        <v>199150</v>
      </c>
      <c r="M45" s="69"/>
    </row>
    <row r="46" spans="1:14" x14ac:dyDescent="0.25">
      <c r="A46" s="51">
        <v>40</v>
      </c>
      <c r="B46" s="50" t="s">
        <v>46</v>
      </c>
      <c r="C46" s="50" t="s">
        <v>46</v>
      </c>
      <c r="D46" s="51" t="s">
        <v>48</v>
      </c>
      <c r="E46" s="51"/>
      <c r="F46" s="51"/>
      <c r="G46" s="29"/>
      <c r="H46" s="37" t="s">
        <v>74</v>
      </c>
      <c r="I46" s="9"/>
      <c r="J46" s="28" t="s">
        <v>59</v>
      </c>
      <c r="K46" s="22">
        <v>360</v>
      </c>
      <c r="L46" s="64">
        <f>L45-K46</f>
        <v>198790</v>
      </c>
      <c r="M46" s="69"/>
    </row>
    <row r="47" spans="1:14" x14ac:dyDescent="0.25">
      <c r="A47" s="35">
        <v>41</v>
      </c>
      <c r="B47" s="50" t="s">
        <v>98</v>
      </c>
      <c r="C47" s="50"/>
      <c r="D47" s="51" t="s">
        <v>99</v>
      </c>
      <c r="E47" s="51"/>
      <c r="F47" s="51"/>
      <c r="G47" s="29"/>
      <c r="H47" s="37" t="s">
        <v>74</v>
      </c>
      <c r="I47" s="9"/>
      <c r="J47" s="28" t="s">
        <v>59</v>
      </c>
      <c r="K47" s="22">
        <v>170</v>
      </c>
      <c r="L47" s="64">
        <f t="shared" ref="L47:L77" si="2">L46-K47</f>
        <v>198620</v>
      </c>
      <c r="M47" s="69"/>
    </row>
    <row r="48" spans="1:14" x14ac:dyDescent="0.25">
      <c r="A48" s="51">
        <v>42</v>
      </c>
      <c r="B48" s="50" t="s">
        <v>50</v>
      </c>
      <c r="C48" s="50" t="s">
        <v>50</v>
      </c>
      <c r="D48" s="51" t="s">
        <v>39</v>
      </c>
      <c r="E48" s="51" t="s">
        <v>72</v>
      </c>
      <c r="F48" s="51"/>
      <c r="G48" s="29"/>
      <c r="H48" s="38" t="s">
        <v>75</v>
      </c>
      <c r="I48" s="9"/>
      <c r="J48" s="28" t="s">
        <v>59</v>
      </c>
      <c r="K48" s="22">
        <v>565</v>
      </c>
      <c r="L48" s="64">
        <f t="shared" si="2"/>
        <v>198055</v>
      </c>
      <c r="M48" s="69"/>
    </row>
    <row r="49" spans="1:13" x14ac:dyDescent="0.25">
      <c r="A49" s="35">
        <v>43</v>
      </c>
      <c r="B49" s="50" t="s">
        <v>50</v>
      </c>
      <c r="C49" s="50" t="s">
        <v>50</v>
      </c>
      <c r="D49" s="51" t="s">
        <v>39</v>
      </c>
      <c r="E49" s="51" t="s">
        <v>72</v>
      </c>
      <c r="F49" s="51"/>
      <c r="G49" s="29"/>
      <c r="H49" s="38" t="s">
        <v>75</v>
      </c>
      <c r="I49" s="9"/>
      <c r="J49" s="28" t="s">
        <v>59</v>
      </c>
      <c r="K49" s="22">
        <v>642</v>
      </c>
      <c r="L49" s="64">
        <f t="shared" si="2"/>
        <v>197413</v>
      </c>
      <c r="M49" s="69"/>
    </row>
    <row r="50" spans="1:13" x14ac:dyDescent="0.25">
      <c r="A50" s="51">
        <v>44</v>
      </c>
      <c r="B50" s="50" t="s">
        <v>50</v>
      </c>
      <c r="C50" s="50" t="s">
        <v>50</v>
      </c>
      <c r="D50" s="51" t="s">
        <v>39</v>
      </c>
      <c r="E50" s="51" t="s">
        <v>62</v>
      </c>
      <c r="F50" s="51"/>
      <c r="G50" s="29"/>
      <c r="H50" s="38" t="s">
        <v>75</v>
      </c>
      <c r="I50" s="9"/>
      <c r="J50" s="28" t="s">
        <v>59</v>
      </c>
      <c r="K50" s="22">
        <v>4530</v>
      </c>
      <c r="L50" s="64">
        <f t="shared" si="2"/>
        <v>192883</v>
      </c>
      <c r="M50" s="69"/>
    </row>
    <row r="51" spans="1:13" x14ac:dyDescent="0.25">
      <c r="A51" s="35">
        <v>45</v>
      </c>
      <c r="B51" s="50" t="s">
        <v>83</v>
      </c>
      <c r="C51" s="50" t="s">
        <v>83</v>
      </c>
      <c r="D51" s="51" t="s">
        <v>88</v>
      </c>
      <c r="E51" s="60" t="s">
        <v>84</v>
      </c>
      <c r="F51" s="51"/>
      <c r="G51" s="29"/>
      <c r="H51" s="38" t="s">
        <v>86</v>
      </c>
      <c r="I51" s="9"/>
      <c r="J51" s="28" t="s">
        <v>59</v>
      </c>
      <c r="K51" s="29">
        <v>3500</v>
      </c>
      <c r="L51" s="64">
        <f t="shared" si="2"/>
        <v>189383</v>
      </c>
      <c r="M51" s="76" t="s">
        <v>96</v>
      </c>
    </row>
    <row r="52" spans="1:13" x14ac:dyDescent="0.25">
      <c r="A52" s="51">
        <v>46</v>
      </c>
      <c r="B52" s="50" t="s">
        <v>83</v>
      </c>
      <c r="C52" s="50" t="s">
        <v>83</v>
      </c>
      <c r="D52" s="51" t="s">
        <v>89</v>
      </c>
      <c r="E52" s="61" t="s">
        <v>85</v>
      </c>
      <c r="G52" s="29"/>
      <c r="H52" s="38" t="s">
        <v>86</v>
      </c>
      <c r="I52" s="9"/>
      <c r="J52" s="28" t="s">
        <v>59</v>
      </c>
      <c r="K52" s="29">
        <v>600</v>
      </c>
      <c r="L52" s="64">
        <f t="shared" si="2"/>
        <v>188783</v>
      </c>
      <c r="M52" s="76" t="s">
        <v>96</v>
      </c>
    </row>
    <row r="53" spans="1:13" x14ac:dyDescent="0.25">
      <c r="A53" s="35">
        <v>47</v>
      </c>
      <c r="B53" s="50" t="s">
        <v>100</v>
      </c>
      <c r="C53" s="50"/>
      <c r="D53" s="51" t="s">
        <v>101</v>
      </c>
      <c r="E53" s="61"/>
      <c r="G53" s="29"/>
      <c r="H53" s="37" t="s">
        <v>74</v>
      </c>
      <c r="I53" s="9"/>
      <c r="J53" s="28" t="s">
        <v>59</v>
      </c>
      <c r="K53" s="29">
        <v>3300</v>
      </c>
      <c r="L53" s="64">
        <f t="shared" si="2"/>
        <v>185483</v>
      </c>
      <c r="M53" s="76"/>
    </row>
    <row r="54" spans="1:13" x14ac:dyDescent="0.25">
      <c r="A54" s="51">
        <v>48</v>
      </c>
      <c r="B54" s="50" t="s">
        <v>94</v>
      </c>
      <c r="C54" s="50" t="s">
        <v>94</v>
      </c>
      <c r="D54" s="51" t="s">
        <v>95</v>
      </c>
      <c r="E54" s="51" t="s">
        <v>52</v>
      </c>
      <c r="F54" s="51"/>
      <c r="G54" s="29"/>
      <c r="H54" s="9" t="s">
        <v>75</v>
      </c>
      <c r="I54" s="9"/>
      <c r="J54" s="9" t="s">
        <v>59</v>
      </c>
      <c r="K54" s="9">
        <v>7505</v>
      </c>
      <c r="L54" s="64">
        <f t="shared" si="2"/>
        <v>177978</v>
      </c>
      <c r="M54" s="75" t="s">
        <v>97</v>
      </c>
    </row>
    <row r="55" spans="1:13" x14ac:dyDescent="0.25">
      <c r="A55" s="35">
        <v>49</v>
      </c>
      <c r="B55" s="10" t="s">
        <v>102</v>
      </c>
      <c r="C55" s="18"/>
      <c r="D55" s="11" t="s">
        <v>104</v>
      </c>
      <c r="E55" s="18"/>
      <c r="F55" s="18"/>
      <c r="G55" s="18"/>
      <c r="H55" s="37" t="s">
        <v>74</v>
      </c>
      <c r="I55" s="18"/>
      <c r="J55" s="9" t="s">
        <v>59</v>
      </c>
      <c r="K55" s="22">
        <v>130</v>
      </c>
      <c r="L55" s="64">
        <f t="shared" si="2"/>
        <v>177848</v>
      </c>
      <c r="M55" s="71"/>
    </row>
    <row r="56" spans="1:13" x14ac:dyDescent="0.25">
      <c r="A56" s="51">
        <v>50</v>
      </c>
      <c r="B56" s="10" t="s">
        <v>102</v>
      </c>
      <c r="C56" s="18"/>
      <c r="D56" s="11" t="s">
        <v>110</v>
      </c>
      <c r="E56" s="62"/>
      <c r="F56" s="62"/>
      <c r="G56" s="62"/>
      <c r="H56" s="37" t="s">
        <v>74</v>
      </c>
      <c r="I56" s="62"/>
      <c r="J56" s="9" t="s">
        <v>59</v>
      </c>
      <c r="K56" s="22">
        <v>640</v>
      </c>
      <c r="L56" s="64">
        <f t="shared" si="2"/>
        <v>177208</v>
      </c>
      <c r="M56" s="71"/>
    </row>
    <row r="57" spans="1:13" x14ac:dyDescent="0.25">
      <c r="A57" s="35">
        <v>51</v>
      </c>
      <c r="B57" s="10" t="s">
        <v>103</v>
      </c>
      <c r="C57" s="18"/>
      <c r="D57" s="11" t="s">
        <v>105</v>
      </c>
      <c r="E57" s="62"/>
      <c r="F57" s="62"/>
      <c r="G57" s="62"/>
      <c r="H57" s="37" t="s">
        <v>74</v>
      </c>
      <c r="I57" s="62"/>
      <c r="J57" s="9" t="s">
        <v>59</v>
      </c>
      <c r="K57" s="22">
        <v>300</v>
      </c>
      <c r="L57" s="64">
        <f t="shared" si="2"/>
        <v>176908</v>
      </c>
      <c r="M57" s="71"/>
    </row>
    <row r="58" spans="1:13" x14ac:dyDescent="0.25">
      <c r="A58" s="51">
        <v>52</v>
      </c>
      <c r="B58" s="10" t="s">
        <v>103</v>
      </c>
      <c r="C58" s="18"/>
      <c r="D58" s="11" t="s">
        <v>106</v>
      </c>
      <c r="E58" s="62"/>
      <c r="F58" s="62"/>
      <c r="G58" s="62"/>
      <c r="H58" s="62"/>
      <c r="I58" s="62"/>
      <c r="J58" s="9" t="s">
        <v>59</v>
      </c>
      <c r="K58" s="12">
        <v>1200</v>
      </c>
      <c r="L58" s="64">
        <f t="shared" si="2"/>
        <v>175708</v>
      </c>
      <c r="M58" s="71"/>
    </row>
    <row r="59" spans="1:13" x14ac:dyDescent="0.25">
      <c r="A59" s="51">
        <v>53</v>
      </c>
      <c r="B59" s="10">
        <v>46026</v>
      </c>
      <c r="C59" s="18"/>
      <c r="D59" s="11" t="s">
        <v>104</v>
      </c>
      <c r="E59" s="62"/>
      <c r="F59" s="62"/>
      <c r="G59" s="62"/>
      <c r="H59" s="37" t="s">
        <v>74</v>
      </c>
      <c r="I59" s="62"/>
      <c r="J59" s="9" t="s">
        <v>59</v>
      </c>
      <c r="K59" s="22">
        <v>260</v>
      </c>
      <c r="L59" s="64">
        <f t="shared" si="2"/>
        <v>175448</v>
      </c>
      <c r="M59" s="71"/>
    </row>
    <row r="60" spans="1:13" x14ac:dyDescent="0.25">
      <c r="A60" s="35">
        <v>54</v>
      </c>
      <c r="B60" s="78">
        <v>46026</v>
      </c>
      <c r="C60" s="18"/>
      <c r="D60" s="77" t="s">
        <v>111</v>
      </c>
      <c r="E60" s="51" t="s">
        <v>52</v>
      </c>
      <c r="F60" s="62"/>
      <c r="G60" s="62"/>
      <c r="H60" s="38" t="s">
        <v>75</v>
      </c>
      <c r="I60" s="62"/>
      <c r="J60" s="77" t="s">
        <v>108</v>
      </c>
      <c r="K60" s="83">
        <v>4460</v>
      </c>
      <c r="L60" s="64">
        <f t="shared" si="2"/>
        <v>170988</v>
      </c>
      <c r="M60" s="71"/>
    </row>
    <row r="61" spans="1:13" x14ac:dyDescent="0.25">
      <c r="A61" s="51">
        <v>55</v>
      </c>
      <c r="B61" s="78">
        <v>46057</v>
      </c>
      <c r="C61" s="18"/>
      <c r="D61" s="77" t="s">
        <v>107</v>
      </c>
      <c r="E61" s="51" t="s">
        <v>52</v>
      </c>
      <c r="F61" s="62"/>
      <c r="G61" s="62"/>
      <c r="H61" s="38" t="s">
        <v>75</v>
      </c>
      <c r="I61" s="62"/>
      <c r="J61" s="77" t="s">
        <v>108</v>
      </c>
      <c r="K61" s="81">
        <v>10467</v>
      </c>
      <c r="L61" s="64">
        <f t="shared" si="2"/>
        <v>160521</v>
      </c>
      <c r="M61" s="73"/>
    </row>
    <row r="62" spans="1:13" x14ac:dyDescent="0.25">
      <c r="A62" s="51">
        <v>56</v>
      </c>
      <c r="B62" s="79"/>
      <c r="C62" s="79"/>
      <c r="D62" s="80"/>
      <c r="E62" s="80"/>
      <c r="F62" s="80"/>
      <c r="G62" s="80"/>
      <c r="H62" s="80"/>
      <c r="I62" s="80"/>
      <c r="J62" s="80"/>
      <c r="K62" s="80"/>
      <c r="L62" s="64">
        <f t="shared" si="2"/>
        <v>160521</v>
      </c>
      <c r="M62" s="73"/>
    </row>
    <row r="63" spans="1:13" x14ac:dyDescent="0.25">
      <c r="A63" s="35">
        <v>57</v>
      </c>
      <c r="B63" s="78">
        <v>46057</v>
      </c>
      <c r="C63" s="18"/>
      <c r="D63" s="77" t="s">
        <v>112</v>
      </c>
      <c r="E63" s="81"/>
      <c r="F63" s="81"/>
      <c r="G63" s="81"/>
      <c r="H63" s="37" t="s">
        <v>74</v>
      </c>
      <c r="I63" s="81"/>
      <c r="J63" s="77"/>
      <c r="K63" s="82">
        <v>320</v>
      </c>
      <c r="L63" s="64">
        <f t="shared" si="2"/>
        <v>160201</v>
      </c>
      <c r="M63" s="73"/>
    </row>
    <row r="64" spans="1:13" x14ac:dyDescent="0.25">
      <c r="A64" s="51">
        <v>58</v>
      </c>
      <c r="B64" s="85" t="s">
        <v>114</v>
      </c>
      <c r="C64" s="18"/>
      <c r="D64" s="18"/>
      <c r="E64" s="18"/>
      <c r="F64" s="18"/>
      <c r="G64" s="18"/>
      <c r="H64" s="38" t="s">
        <v>75</v>
      </c>
      <c r="I64" s="18"/>
      <c r="J64" s="18" t="s">
        <v>109</v>
      </c>
      <c r="K64" s="18">
        <v>4200</v>
      </c>
      <c r="L64" s="64">
        <f t="shared" si="2"/>
        <v>156001</v>
      </c>
      <c r="M64" s="73"/>
    </row>
    <row r="65" spans="1:13" x14ac:dyDescent="0.25">
      <c r="A65" s="51">
        <v>59</v>
      </c>
      <c r="B65" s="84" t="s">
        <v>113</v>
      </c>
      <c r="C65" s="18"/>
      <c r="D65" s="77" t="s">
        <v>115</v>
      </c>
      <c r="E65" s="77" t="s">
        <v>116</v>
      </c>
      <c r="F65" s="77"/>
      <c r="G65" s="77"/>
      <c r="H65" s="86" t="s">
        <v>75</v>
      </c>
      <c r="I65" s="77"/>
      <c r="J65" s="77" t="s">
        <v>109</v>
      </c>
      <c r="K65" s="81">
        <v>5838</v>
      </c>
      <c r="L65" s="64">
        <f t="shared" si="2"/>
        <v>150163</v>
      </c>
      <c r="M65" s="73"/>
    </row>
    <row r="66" spans="1:13" x14ac:dyDescent="0.25">
      <c r="A66" s="35">
        <v>60</v>
      </c>
      <c r="B66" s="84" t="s">
        <v>113</v>
      </c>
      <c r="C66" s="18"/>
      <c r="D66" s="77" t="s">
        <v>117</v>
      </c>
      <c r="E66" s="77" t="s">
        <v>118</v>
      </c>
      <c r="F66" s="77"/>
      <c r="G66" s="77"/>
      <c r="H66" s="86" t="s">
        <v>75</v>
      </c>
      <c r="I66" s="77"/>
      <c r="J66" s="77" t="s">
        <v>109</v>
      </c>
      <c r="K66" s="81">
        <v>800</v>
      </c>
      <c r="L66" s="64">
        <f t="shared" si="2"/>
        <v>149363</v>
      </c>
      <c r="M66" s="73"/>
    </row>
    <row r="67" spans="1:13" x14ac:dyDescent="0.25">
      <c r="A67" s="51">
        <v>61</v>
      </c>
      <c r="B67" s="84" t="s">
        <v>113</v>
      </c>
      <c r="C67" s="18"/>
      <c r="D67" s="77" t="s">
        <v>119</v>
      </c>
      <c r="E67" s="77" t="s">
        <v>120</v>
      </c>
      <c r="F67" s="77"/>
      <c r="G67" s="77"/>
      <c r="H67" s="86" t="s">
        <v>75</v>
      </c>
      <c r="I67" s="77"/>
      <c r="J67" s="77" t="s">
        <v>109</v>
      </c>
      <c r="K67" s="81">
        <v>293</v>
      </c>
      <c r="L67" s="64">
        <f t="shared" si="2"/>
        <v>149070</v>
      </c>
      <c r="M67" s="73"/>
    </row>
    <row r="68" spans="1:13" x14ac:dyDescent="0.25">
      <c r="A68" s="51">
        <v>62</v>
      </c>
      <c r="B68" s="85" t="s">
        <v>122</v>
      </c>
      <c r="C68" s="18"/>
      <c r="D68" s="77" t="s">
        <v>121</v>
      </c>
      <c r="E68" s="77"/>
      <c r="F68" s="77"/>
      <c r="G68" s="77"/>
      <c r="H68" s="37" t="s">
        <v>74</v>
      </c>
      <c r="I68" s="77"/>
      <c r="J68" s="77" t="s">
        <v>109</v>
      </c>
      <c r="K68" s="83">
        <v>560</v>
      </c>
      <c r="L68" s="64">
        <f t="shared" si="2"/>
        <v>148510</v>
      </c>
      <c r="M68" s="73"/>
    </row>
    <row r="69" spans="1:13" x14ac:dyDescent="0.25">
      <c r="A69" s="35">
        <v>63</v>
      </c>
      <c r="B69" s="85" t="s">
        <v>122</v>
      </c>
      <c r="C69" s="18"/>
      <c r="D69" s="77" t="s">
        <v>123</v>
      </c>
      <c r="E69" s="77"/>
      <c r="F69" s="77"/>
      <c r="G69" s="77"/>
      <c r="H69" s="37" t="s">
        <v>74</v>
      </c>
      <c r="I69" s="77"/>
      <c r="J69" s="77" t="s">
        <v>109</v>
      </c>
      <c r="K69" s="83">
        <v>75</v>
      </c>
      <c r="L69" s="64">
        <f t="shared" si="2"/>
        <v>148435</v>
      </c>
      <c r="M69" s="73"/>
    </row>
    <row r="70" spans="1:13" x14ac:dyDescent="0.25">
      <c r="A70" s="51">
        <v>64</v>
      </c>
      <c r="B70" s="85">
        <v>46123</v>
      </c>
      <c r="C70" s="18"/>
      <c r="D70" s="77" t="s">
        <v>115</v>
      </c>
      <c r="E70" s="77" t="s">
        <v>116</v>
      </c>
      <c r="F70" s="77"/>
      <c r="G70" s="77"/>
      <c r="H70" s="86" t="s">
        <v>75</v>
      </c>
      <c r="I70" s="77"/>
      <c r="J70" s="77" t="s">
        <v>109</v>
      </c>
      <c r="K70" s="82">
        <v>5600</v>
      </c>
      <c r="L70" s="64">
        <f t="shared" si="2"/>
        <v>142835</v>
      </c>
      <c r="M70" s="73"/>
    </row>
    <row r="71" spans="1:13" x14ac:dyDescent="0.25">
      <c r="A71" s="51">
        <v>65</v>
      </c>
      <c r="B71" s="85">
        <v>46123</v>
      </c>
      <c r="C71" s="18"/>
      <c r="D71" s="77" t="s">
        <v>115</v>
      </c>
      <c r="E71" s="77" t="s">
        <v>116</v>
      </c>
      <c r="F71" s="77"/>
      <c r="G71" s="77"/>
      <c r="H71" s="86" t="s">
        <v>75</v>
      </c>
      <c r="I71" s="77"/>
      <c r="J71" s="77" t="s">
        <v>109</v>
      </c>
      <c r="K71" s="82">
        <v>2170</v>
      </c>
      <c r="L71" s="64">
        <f t="shared" si="2"/>
        <v>140665</v>
      </c>
      <c r="M71" s="73"/>
    </row>
    <row r="72" spans="1:13" x14ac:dyDescent="0.25">
      <c r="A72" s="35">
        <v>66</v>
      </c>
      <c r="B72" s="85">
        <v>46123</v>
      </c>
      <c r="C72" s="18"/>
      <c r="D72" s="77" t="s">
        <v>115</v>
      </c>
      <c r="E72" s="77" t="s">
        <v>116</v>
      </c>
      <c r="F72" s="62"/>
      <c r="G72" s="62"/>
      <c r="H72" s="86" t="s">
        <v>75</v>
      </c>
      <c r="I72" s="62"/>
      <c r="J72" s="77" t="s">
        <v>109</v>
      </c>
      <c r="K72" s="82">
        <v>1840</v>
      </c>
      <c r="L72" s="64">
        <f t="shared" si="2"/>
        <v>138825</v>
      </c>
      <c r="M72" s="73"/>
    </row>
    <row r="73" spans="1:13" x14ac:dyDescent="0.25">
      <c r="A73" s="35">
        <v>67</v>
      </c>
      <c r="B73" s="85">
        <v>46126</v>
      </c>
      <c r="C73" s="18"/>
      <c r="D73" s="77" t="s">
        <v>125</v>
      </c>
      <c r="E73" s="77" t="s">
        <v>124</v>
      </c>
      <c r="F73" s="62"/>
      <c r="G73" s="62"/>
      <c r="H73" s="86" t="s">
        <v>75</v>
      </c>
      <c r="I73" s="62"/>
      <c r="J73" s="77" t="s">
        <v>109</v>
      </c>
      <c r="K73" s="82">
        <v>530</v>
      </c>
      <c r="L73" s="64">
        <f t="shared" si="2"/>
        <v>138295</v>
      </c>
      <c r="M73" s="73"/>
    </row>
    <row r="74" spans="1:13" x14ac:dyDescent="0.25">
      <c r="A74" s="35">
        <v>68</v>
      </c>
      <c r="B74" s="85">
        <v>46126</v>
      </c>
      <c r="C74" s="18"/>
      <c r="D74" s="77" t="s">
        <v>127</v>
      </c>
      <c r="E74" s="77" t="s">
        <v>126</v>
      </c>
      <c r="F74" s="62"/>
      <c r="G74" s="62"/>
      <c r="H74" s="86" t="s">
        <v>75</v>
      </c>
      <c r="I74" s="62"/>
      <c r="J74" s="77" t="s">
        <v>109</v>
      </c>
      <c r="K74" s="82">
        <v>5324</v>
      </c>
      <c r="L74" s="64">
        <f t="shared" si="2"/>
        <v>132971</v>
      </c>
      <c r="M74" s="73"/>
    </row>
    <row r="75" spans="1:13" x14ac:dyDescent="0.25">
      <c r="A75" s="35">
        <v>69</v>
      </c>
      <c r="B75" s="85">
        <v>46127</v>
      </c>
      <c r="C75" s="18"/>
      <c r="D75" s="77" t="s">
        <v>129</v>
      </c>
      <c r="E75" s="77" t="s">
        <v>128</v>
      </c>
      <c r="F75" s="62"/>
      <c r="G75" s="62"/>
      <c r="H75" s="86" t="s">
        <v>75</v>
      </c>
      <c r="I75" s="62"/>
      <c r="J75" s="77" t="s">
        <v>109</v>
      </c>
      <c r="K75" s="82">
        <v>2682</v>
      </c>
      <c r="L75" s="64">
        <f t="shared" si="2"/>
        <v>130289</v>
      </c>
      <c r="M75" s="73"/>
    </row>
    <row r="76" spans="1:13" x14ac:dyDescent="0.25">
      <c r="A76" s="51">
        <v>67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64">
        <f t="shared" si="2"/>
        <v>130289</v>
      </c>
    </row>
    <row r="77" spans="1:13" x14ac:dyDescent="0.25">
      <c r="A77" s="51">
        <v>68</v>
      </c>
      <c r="D77" s="225" t="s">
        <v>13</v>
      </c>
      <c r="E77" s="225"/>
      <c r="F77" s="225"/>
      <c r="G77" s="225"/>
      <c r="H77" s="225"/>
      <c r="I77" s="225"/>
      <c r="J77" s="225"/>
      <c r="K77" s="226"/>
      <c r="L77" s="64">
        <f t="shared" si="2"/>
        <v>130289</v>
      </c>
    </row>
    <row r="78" spans="1:13" x14ac:dyDescent="0.25">
      <c r="E78" s="49"/>
      <c r="G78" s="24"/>
      <c r="H78" s="33"/>
      <c r="I78" s="25"/>
      <c r="J78" s="25"/>
      <c r="K78" s="24"/>
      <c r="L78" s="13"/>
    </row>
    <row r="79" spans="1:13" x14ac:dyDescent="0.25">
      <c r="E79" s="49"/>
      <c r="G79" s="24"/>
      <c r="H79" s="33"/>
      <c r="I79" s="25"/>
      <c r="J79" s="25"/>
      <c r="K79" s="24" t="s">
        <v>14</v>
      </c>
      <c r="L79" s="14">
        <f>L77</f>
        <v>130289</v>
      </c>
    </row>
  </sheetData>
  <autoFilter ref="A5:O55"/>
  <mergeCells count="3">
    <mergeCell ref="B1:L1"/>
    <mergeCell ref="D77:K77"/>
    <mergeCell ref="C3:D3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opLeftCell="D1" workbookViewId="0">
      <selection activeCell="F5" sqref="F5"/>
    </sheetView>
  </sheetViews>
  <sheetFormatPr defaultRowHeight="15.75" x14ac:dyDescent="0.25"/>
  <cols>
    <col min="1" max="1" width="5.42578125" customWidth="1"/>
    <col min="2" max="2" width="12.7109375" customWidth="1"/>
    <col min="3" max="3" width="12.28515625" customWidth="1"/>
    <col min="4" max="4" width="41.85546875" customWidth="1"/>
    <col min="5" max="5" width="32.85546875" bestFit="1" customWidth="1"/>
    <col min="6" max="6" width="26.7109375" customWidth="1"/>
    <col min="7" max="7" width="14.42578125" bestFit="1" customWidth="1"/>
    <col min="8" max="9" width="10.42578125" customWidth="1"/>
    <col min="10" max="10" width="13.5703125" customWidth="1"/>
    <col min="11" max="11" width="13.7109375" customWidth="1"/>
    <col min="12" max="12" width="16.28515625" bestFit="1" customWidth="1"/>
    <col min="13" max="13" width="13.140625" style="70" customWidth="1"/>
    <col min="15" max="15" width="12.140625" customWidth="1"/>
  </cols>
  <sheetData>
    <row r="1" spans="1:15" ht="18" x14ac:dyDescent="0.25">
      <c r="B1" s="222" t="s">
        <v>0</v>
      </c>
      <c r="C1" s="223"/>
      <c r="D1" s="223"/>
      <c r="E1" s="223"/>
      <c r="F1" s="223"/>
      <c r="G1" s="223"/>
      <c r="H1" s="223"/>
      <c r="I1" s="223"/>
      <c r="J1" s="223"/>
      <c r="K1" s="223"/>
      <c r="L1" s="224"/>
    </row>
    <row r="2" spans="1:15" x14ac:dyDescent="0.25">
      <c r="B2" s="1"/>
      <c r="L2" s="2"/>
    </row>
    <row r="3" spans="1:15" x14ac:dyDescent="0.25">
      <c r="B3" s="3" t="s">
        <v>1</v>
      </c>
      <c r="C3" s="227">
        <v>46082</v>
      </c>
      <c r="D3" s="227"/>
      <c r="E3" s="88"/>
      <c r="F3" s="88"/>
      <c r="L3" s="2"/>
    </row>
    <row r="4" spans="1:15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6"/>
    </row>
    <row r="5" spans="1:15" ht="47.25" x14ac:dyDescent="0.25">
      <c r="B5" s="26" t="s">
        <v>2</v>
      </c>
      <c r="C5" s="26" t="s">
        <v>3</v>
      </c>
      <c r="D5" s="27" t="s">
        <v>87</v>
      </c>
      <c r="E5" s="27" t="s">
        <v>51</v>
      </c>
      <c r="F5" s="27" t="s">
        <v>15</v>
      </c>
      <c r="G5" s="27" t="s">
        <v>4</v>
      </c>
      <c r="H5" s="27" t="s">
        <v>93</v>
      </c>
      <c r="I5" s="27" t="s">
        <v>73</v>
      </c>
      <c r="J5" s="27" t="s">
        <v>57</v>
      </c>
      <c r="K5" s="27" t="s">
        <v>5</v>
      </c>
      <c r="L5" s="27" t="s">
        <v>6</v>
      </c>
      <c r="M5" s="74" t="s">
        <v>90</v>
      </c>
    </row>
    <row r="6" spans="1:15" x14ac:dyDescent="0.25">
      <c r="B6" s="10"/>
      <c r="C6" s="10"/>
      <c r="D6" s="11"/>
      <c r="E6" s="11"/>
      <c r="F6" s="11"/>
      <c r="G6" s="12">
        <v>200000</v>
      </c>
      <c r="H6" s="12"/>
      <c r="I6" s="12"/>
      <c r="J6" s="29"/>
      <c r="K6" s="12"/>
      <c r="L6" s="206">
        <v>200000</v>
      </c>
      <c r="M6" s="71"/>
      <c r="N6" s="19"/>
      <c r="O6" s="19"/>
    </row>
    <row r="7" spans="1:15" x14ac:dyDescent="0.25">
      <c r="A7">
        <v>1</v>
      </c>
      <c r="B7" s="10">
        <v>46145</v>
      </c>
      <c r="C7" s="10">
        <v>46329</v>
      </c>
      <c r="D7" s="11" t="s">
        <v>7</v>
      </c>
      <c r="E7" s="11" t="s">
        <v>54</v>
      </c>
      <c r="F7" s="18" t="s">
        <v>228</v>
      </c>
      <c r="G7" s="23"/>
      <c r="H7" s="37" t="s">
        <v>74</v>
      </c>
      <c r="I7" s="12"/>
      <c r="J7" s="28" t="s">
        <v>59</v>
      </c>
      <c r="K7" s="132">
        <v>330</v>
      </c>
      <c r="L7" s="206">
        <f t="shared" ref="L7:L18" si="0">L6-K7</f>
        <v>199670</v>
      </c>
      <c r="M7" s="72" t="s">
        <v>92</v>
      </c>
    </row>
    <row r="8" spans="1:15" x14ac:dyDescent="0.25">
      <c r="A8" s="39">
        <v>2</v>
      </c>
      <c r="B8" s="40">
        <v>46145</v>
      </c>
      <c r="C8" s="40">
        <v>46329</v>
      </c>
      <c r="D8" s="41" t="s">
        <v>8</v>
      </c>
      <c r="E8" s="41" t="s">
        <v>52</v>
      </c>
      <c r="F8" s="41" t="s">
        <v>229</v>
      </c>
      <c r="G8" s="42"/>
      <c r="H8" s="42" t="s">
        <v>75</v>
      </c>
      <c r="I8" s="42" t="s">
        <v>59</v>
      </c>
      <c r="J8" s="42" t="s">
        <v>59</v>
      </c>
      <c r="K8" s="46">
        <v>5257</v>
      </c>
      <c r="L8" s="207">
        <f t="shared" si="0"/>
        <v>194413</v>
      </c>
      <c r="M8" s="72" t="s">
        <v>92</v>
      </c>
    </row>
    <row r="9" spans="1:15" x14ac:dyDescent="0.25">
      <c r="A9" s="39">
        <v>3</v>
      </c>
      <c r="B9" s="40">
        <v>46145</v>
      </c>
      <c r="C9" s="40">
        <v>46329</v>
      </c>
      <c r="D9" s="41" t="s">
        <v>9</v>
      </c>
      <c r="E9" s="41" t="s">
        <v>72</v>
      </c>
      <c r="F9" s="41" t="s">
        <v>230</v>
      </c>
      <c r="G9" s="42"/>
      <c r="H9" s="42" t="s">
        <v>75</v>
      </c>
      <c r="I9" s="42"/>
      <c r="J9" s="42" t="s">
        <v>59</v>
      </c>
      <c r="K9" s="46">
        <v>3835</v>
      </c>
      <c r="L9" s="207">
        <f t="shared" si="0"/>
        <v>190578</v>
      </c>
      <c r="M9" s="72" t="s">
        <v>92</v>
      </c>
    </row>
    <row r="10" spans="1:15" x14ac:dyDescent="0.25">
      <c r="A10">
        <v>4</v>
      </c>
      <c r="B10" s="10">
        <v>46206</v>
      </c>
      <c r="C10" s="10">
        <v>46329</v>
      </c>
      <c r="D10" s="11" t="s">
        <v>10</v>
      </c>
      <c r="E10" s="11" t="s">
        <v>55</v>
      </c>
      <c r="F10" s="18" t="s">
        <v>231</v>
      </c>
      <c r="G10" s="23"/>
      <c r="H10" s="37" t="s">
        <v>74</v>
      </c>
      <c r="I10" s="12"/>
      <c r="J10" s="28" t="s">
        <v>59</v>
      </c>
      <c r="K10" s="132">
        <v>300</v>
      </c>
      <c r="L10" s="206">
        <f t="shared" si="0"/>
        <v>190278</v>
      </c>
      <c r="M10" s="72" t="s">
        <v>92</v>
      </c>
    </row>
    <row r="11" spans="1:15" x14ac:dyDescent="0.25">
      <c r="A11" s="39">
        <v>5</v>
      </c>
      <c r="B11" s="40">
        <v>46268</v>
      </c>
      <c r="C11" s="40">
        <v>46329</v>
      </c>
      <c r="D11" s="41" t="s">
        <v>11</v>
      </c>
      <c r="E11" s="41" t="s">
        <v>56</v>
      </c>
      <c r="F11" s="41" t="s">
        <v>232</v>
      </c>
      <c r="G11" s="42"/>
      <c r="H11" s="42" t="s">
        <v>75</v>
      </c>
      <c r="I11" s="42"/>
      <c r="J11" s="42" t="s">
        <v>59</v>
      </c>
      <c r="K11" s="46">
        <v>2808</v>
      </c>
      <c r="L11" s="206">
        <f t="shared" si="0"/>
        <v>187470</v>
      </c>
      <c r="M11" s="72" t="s">
        <v>92</v>
      </c>
    </row>
    <row r="12" spans="1:15" x14ac:dyDescent="0.25">
      <c r="A12">
        <v>6</v>
      </c>
      <c r="B12" s="10">
        <v>46268</v>
      </c>
      <c r="C12" s="10">
        <v>46329</v>
      </c>
      <c r="D12" s="11" t="s">
        <v>7</v>
      </c>
      <c r="E12" s="11" t="s">
        <v>54</v>
      </c>
      <c r="F12" s="18" t="s">
        <v>228</v>
      </c>
      <c r="G12" s="23"/>
      <c r="H12" s="37" t="s">
        <v>74</v>
      </c>
      <c r="I12" s="12"/>
      <c r="J12" s="28" t="s">
        <v>59</v>
      </c>
      <c r="K12" s="132">
        <v>1170</v>
      </c>
      <c r="L12" s="206">
        <f t="shared" si="0"/>
        <v>186300</v>
      </c>
      <c r="M12" s="72" t="s">
        <v>92</v>
      </c>
    </row>
    <row r="13" spans="1:15" x14ac:dyDescent="0.25">
      <c r="A13" s="39">
        <v>7</v>
      </c>
      <c r="B13" s="40">
        <v>46237</v>
      </c>
      <c r="C13" s="40" t="s">
        <v>12</v>
      </c>
      <c r="D13" s="41" t="s">
        <v>11</v>
      </c>
      <c r="E13" s="41"/>
      <c r="F13" s="41" t="s">
        <v>232</v>
      </c>
      <c r="G13" s="42"/>
      <c r="H13" s="42" t="s">
        <v>77</v>
      </c>
      <c r="I13" s="42"/>
      <c r="J13" s="42" t="s">
        <v>58</v>
      </c>
      <c r="K13" s="46">
        <v>21588</v>
      </c>
      <c r="L13" s="207">
        <f t="shared" si="0"/>
        <v>164712</v>
      </c>
      <c r="M13" s="72" t="s">
        <v>92</v>
      </c>
      <c r="N13" s="19"/>
    </row>
    <row r="14" spans="1:15" x14ac:dyDescent="0.25">
      <c r="A14" s="39">
        <v>8</v>
      </c>
      <c r="B14" s="40">
        <v>46359</v>
      </c>
      <c r="C14" s="40" t="s">
        <v>12</v>
      </c>
      <c r="D14" s="41" t="s">
        <v>8</v>
      </c>
      <c r="E14" s="41" t="s">
        <v>52</v>
      </c>
      <c r="F14" s="41" t="s">
        <v>229</v>
      </c>
      <c r="G14" s="42"/>
      <c r="H14" s="42" t="s">
        <v>75</v>
      </c>
      <c r="I14" s="42" t="s">
        <v>59</v>
      </c>
      <c r="J14" s="42" t="s">
        <v>59</v>
      </c>
      <c r="K14" s="152">
        <v>2177</v>
      </c>
      <c r="L14" s="207">
        <f t="shared" si="0"/>
        <v>162535</v>
      </c>
      <c r="M14" s="72" t="s">
        <v>92</v>
      </c>
    </row>
    <row r="15" spans="1:15" x14ac:dyDescent="0.25">
      <c r="A15" s="39">
        <v>9</v>
      </c>
      <c r="B15" s="40">
        <v>46359</v>
      </c>
      <c r="C15" s="40" t="s">
        <v>12</v>
      </c>
      <c r="D15" s="41" t="s">
        <v>53</v>
      </c>
      <c r="E15" s="41" t="s">
        <v>52</v>
      </c>
      <c r="F15" s="41" t="s">
        <v>233</v>
      </c>
      <c r="G15" s="42"/>
      <c r="H15" s="42" t="s">
        <v>76</v>
      </c>
      <c r="I15" s="42" t="s">
        <v>59</v>
      </c>
      <c r="J15" s="42" t="s">
        <v>59</v>
      </c>
      <c r="K15" s="46">
        <v>13157</v>
      </c>
      <c r="L15" s="207">
        <f t="shared" si="0"/>
        <v>149378</v>
      </c>
      <c r="M15" s="72" t="s">
        <v>92</v>
      </c>
    </row>
    <row r="16" spans="1:15" x14ac:dyDescent="0.25">
      <c r="A16">
        <v>10</v>
      </c>
      <c r="B16" s="10" t="s">
        <v>20</v>
      </c>
      <c r="C16" s="10" t="s">
        <v>20</v>
      </c>
      <c r="D16" s="11" t="s">
        <v>16</v>
      </c>
      <c r="E16" s="11" t="s">
        <v>60</v>
      </c>
      <c r="F16" s="18" t="s">
        <v>234</v>
      </c>
      <c r="G16" s="12"/>
      <c r="H16" s="37" t="s">
        <v>74</v>
      </c>
      <c r="I16" s="12"/>
      <c r="J16" s="28" t="s">
        <v>59</v>
      </c>
      <c r="K16" s="46">
        <v>9900</v>
      </c>
      <c r="L16" s="206">
        <f>L15-K16</f>
        <v>139478</v>
      </c>
      <c r="M16" s="72" t="s">
        <v>92</v>
      </c>
    </row>
    <row r="17" spans="1:14" x14ac:dyDescent="0.25">
      <c r="A17">
        <v>11</v>
      </c>
      <c r="B17" s="10" t="s">
        <v>21</v>
      </c>
      <c r="C17" s="10" t="s">
        <v>20</v>
      </c>
      <c r="D17" s="11" t="s">
        <v>17</v>
      </c>
      <c r="E17" s="30"/>
      <c r="F17" s="30" t="s">
        <v>235</v>
      </c>
      <c r="G17" s="12"/>
      <c r="H17" s="37" t="s">
        <v>74</v>
      </c>
      <c r="I17" s="12"/>
      <c r="J17" s="22" t="s">
        <v>58</v>
      </c>
      <c r="K17" s="132">
        <v>600</v>
      </c>
      <c r="L17" s="206">
        <f t="shared" si="0"/>
        <v>138878</v>
      </c>
      <c r="M17" s="72" t="s">
        <v>92</v>
      </c>
      <c r="N17" s="72" t="s">
        <v>49</v>
      </c>
    </row>
    <row r="18" spans="1:14" x14ac:dyDescent="0.25">
      <c r="A18">
        <v>12</v>
      </c>
      <c r="B18" s="10" t="s">
        <v>22</v>
      </c>
      <c r="C18" s="10" t="s">
        <v>22</v>
      </c>
      <c r="D18" s="11" t="s">
        <v>18</v>
      </c>
      <c r="E18" s="30"/>
      <c r="F18" s="30" t="s">
        <v>236</v>
      </c>
      <c r="G18" s="12"/>
      <c r="H18" s="37" t="s">
        <v>74</v>
      </c>
      <c r="I18" s="12"/>
      <c r="J18" s="28" t="s">
        <v>59</v>
      </c>
      <c r="K18" s="46">
        <v>5500</v>
      </c>
      <c r="L18" s="206">
        <f t="shared" si="0"/>
        <v>133378</v>
      </c>
      <c r="M18" s="72" t="s">
        <v>92</v>
      </c>
    </row>
    <row r="19" spans="1:14" x14ac:dyDescent="0.25">
      <c r="A19">
        <v>13</v>
      </c>
      <c r="B19" s="7" t="s">
        <v>23</v>
      </c>
      <c r="C19" s="7" t="s">
        <v>23</v>
      </c>
      <c r="D19" s="11" t="s">
        <v>61</v>
      </c>
      <c r="E19" s="30"/>
      <c r="F19" s="30" t="s">
        <v>237</v>
      </c>
      <c r="G19" s="9"/>
      <c r="H19" s="37" t="s">
        <v>74</v>
      </c>
      <c r="I19" s="9"/>
      <c r="J19" s="28" t="s">
        <v>59</v>
      </c>
      <c r="K19" s="132">
        <v>5400</v>
      </c>
      <c r="L19" s="206">
        <f>L18-K19</f>
        <v>127978</v>
      </c>
      <c r="M19" s="72" t="s">
        <v>92</v>
      </c>
    </row>
    <row r="20" spans="1:14" s="59" customFormat="1" x14ac:dyDescent="0.25">
      <c r="A20" s="59">
        <v>14</v>
      </c>
      <c r="B20" s="50" t="s">
        <v>78</v>
      </c>
      <c r="C20" s="50" t="s">
        <v>78</v>
      </c>
      <c r="D20" s="51" t="s">
        <v>79</v>
      </c>
      <c r="E20" s="51"/>
      <c r="F20" s="18" t="s">
        <v>238</v>
      </c>
      <c r="G20" s="29"/>
      <c r="H20" s="52"/>
      <c r="I20" s="29"/>
      <c r="J20" s="29"/>
      <c r="K20" s="132">
        <v>5700</v>
      </c>
      <c r="L20" s="208">
        <f t="shared" ref="L20:L44" si="1">L19-K20</f>
        <v>122278</v>
      </c>
      <c r="M20" s="72" t="s">
        <v>92</v>
      </c>
    </row>
    <row r="21" spans="1:14" x14ac:dyDescent="0.25">
      <c r="A21">
        <v>15</v>
      </c>
      <c r="B21" s="7" t="s">
        <v>23</v>
      </c>
      <c r="C21" s="7" t="s">
        <v>25</v>
      </c>
      <c r="D21" s="8" t="s">
        <v>11</v>
      </c>
      <c r="E21" s="8" t="s">
        <v>62</v>
      </c>
      <c r="F21" s="18" t="s">
        <v>232</v>
      </c>
      <c r="G21" s="9"/>
      <c r="H21" s="38" t="s">
        <v>75</v>
      </c>
      <c r="I21" s="9"/>
      <c r="J21" s="28" t="s">
        <v>59</v>
      </c>
      <c r="K21" s="48">
        <v>3998</v>
      </c>
      <c r="L21" s="206">
        <f t="shared" si="1"/>
        <v>118280</v>
      </c>
      <c r="M21" s="72" t="s">
        <v>92</v>
      </c>
    </row>
    <row r="22" spans="1:14" x14ac:dyDescent="0.25">
      <c r="A22">
        <v>16</v>
      </c>
      <c r="B22" s="7" t="s">
        <v>23</v>
      </c>
      <c r="C22" s="7" t="s">
        <v>32</v>
      </c>
      <c r="D22" s="8" t="s">
        <v>11</v>
      </c>
      <c r="E22" s="8" t="s">
        <v>62</v>
      </c>
      <c r="F22" s="18" t="s">
        <v>232</v>
      </c>
      <c r="G22" s="9"/>
      <c r="H22" s="38" t="s">
        <v>75</v>
      </c>
      <c r="I22" s="9"/>
      <c r="J22" s="28" t="s">
        <v>59</v>
      </c>
      <c r="K22" s="46">
        <v>2100</v>
      </c>
      <c r="L22" s="206">
        <f t="shared" si="1"/>
        <v>116180</v>
      </c>
      <c r="M22" s="72" t="s">
        <v>92</v>
      </c>
    </row>
    <row r="23" spans="1:14" x14ac:dyDescent="0.25">
      <c r="A23">
        <v>17</v>
      </c>
      <c r="B23" s="7" t="s">
        <v>23</v>
      </c>
      <c r="C23" s="7" t="s">
        <v>33</v>
      </c>
      <c r="D23" s="21" t="s">
        <v>45</v>
      </c>
      <c r="E23" s="8" t="s">
        <v>62</v>
      </c>
      <c r="F23" s="18" t="s">
        <v>239</v>
      </c>
      <c r="G23" s="9"/>
      <c r="H23" s="38" t="s">
        <v>75</v>
      </c>
      <c r="I23" s="9"/>
      <c r="J23" s="28" t="s">
        <v>59</v>
      </c>
      <c r="K23" s="46">
        <v>2840</v>
      </c>
      <c r="L23" s="206">
        <f t="shared" si="1"/>
        <v>113340</v>
      </c>
      <c r="M23" s="72" t="s">
        <v>92</v>
      </c>
    </row>
    <row r="24" spans="1:14" x14ac:dyDescent="0.25">
      <c r="A24">
        <v>18</v>
      </c>
      <c r="B24" s="7" t="s">
        <v>23</v>
      </c>
      <c r="C24" s="7" t="s">
        <v>23</v>
      </c>
      <c r="D24" s="8" t="s">
        <v>19</v>
      </c>
      <c r="E24" s="8" t="s">
        <v>63</v>
      </c>
      <c r="F24" s="18" t="s">
        <v>240</v>
      </c>
      <c r="G24" s="9"/>
      <c r="H24" s="37" t="s">
        <v>74</v>
      </c>
      <c r="I24" s="9"/>
      <c r="J24" s="28" t="s">
        <v>59</v>
      </c>
      <c r="K24" s="48">
        <v>140</v>
      </c>
      <c r="L24" s="206">
        <f t="shared" si="1"/>
        <v>113200</v>
      </c>
      <c r="M24" s="72" t="s">
        <v>92</v>
      </c>
    </row>
    <row r="25" spans="1:14" s="43" customFormat="1" x14ac:dyDescent="0.25">
      <c r="A25" s="45">
        <v>19</v>
      </c>
      <c r="B25" s="44" t="s">
        <v>78</v>
      </c>
      <c r="C25" s="44" t="s">
        <v>80</v>
      </c>
      <c r="D25" s="45" t="s">
        <v>79</v>
      </c>
      <c r="E25" s="45" t="s">
        <v>154</v>
      </c>
      <c r="F25" s="45" t="s">
        <v>238</v>
      </c>
      <c r="G25" s="46"/>
      <c r="H25" s="38" t="s">
        <v>75</v>
      </c>
      <c r="I25" s="46"/>
      <c r="J25" s="46"/>
      <c r="K25" s="48">
        <v>3886</v>
      </c>
      <c r="L25" s="209">
        <f t="shared" si="1"/>
        <v>109314</v>
      </c>
      <c r="M25" s="72" t="s">
        <v>92</v>
      </c>
    </row>
    <row r="26" spans="1:14" x14ac:dyDescent="0.25">
      <c r="A26">
        <v>20</v>
      </c>
      <c r="B26" s="7" t="s">
        <v>23</v>
      </c>
      <c r="C26" s="7" t="s">
        <v>23</v>
      </c>
      <c r="D26" s="8" t="s">
        <v>227</v>
      </c>
      <c r="E26" s="8"/>
      <c r="F26" s="18" t="s">
        <v>241</v>
      </c>
      <c r="G26" s="9"/>
      <c r="H26" s="38" t="s">
        <v>75</v>
      </c>
      <c r="I26" s="9"/>
      <c r="J26" s="28" t="s">
        <v>59</v>
      </c>
      <c r="K26" s="46">
        <v>5000</v>
      </c>
      <c r="L26" s="206">
        <f t="shared" si="1"/>
        <v>104314</v>
      </c>
      <c r="M26" s="72" t="s">
        <v>92</v>
      </c>
    </row>
    <row r="27" spans="1:14" x14ac:dyDescent="0.25">
      <c r="A27">
        <v>21</v>
      </c>
      <c r="B27" s="7" t="s">
        <v>25</v>
      </c>
      <c r="C27" s="7" t="s">
        <v>38</v>
      </c>
      <c r="D27" s="8" t="s">
        <v>27</v>
      </c>
      <c r="E27" s="8" t="s">
        <v>64</v>
      </c>
      <c r="F27" s="18" t="s">
        <v>242</v>
      </c>
      <c r="G27" s="9"/>
      <c r="H27" s="37" t="s">
        <v>74</v>
      </c>
      <c r="I27" s="28" t="s">
        <v>59</v>
      </c>
      <c r="J27" s="28" t="s">
        <v>59</v>
      </c>
      <c r="K27" s="152">
        <v>24426</v>
      </c>
      <c r="L27" s="206">
        <f t="shared" si="1"/>
        <v>79888</v>
      </c>
      <c r="M27" s="72" t="s">
        <v>92</v>
      </c>
    </row>
    <row r="28" spans="1:14" x14ac:dyDescent="0.25">
      <c r="A28">
        <v>22</v>
      </c>
      <c r="B28" s="7" t="s">
        <v>25</v>
      </c>
      <c r="C28" s="7" t="s">
        <v>38</v>
      </c>
      <c r="D28" s="8" t="s">
        <v>28</v>
      </c>
      <c r="E28" s="8"/>
      <c r="F28" s="18" t="s">
        <v>243</v>
      </c>
      <c r="G28" s="9"/>
      <c r="H28" s="37" t="s">
        <v>74</v>
      </c>
      <c r="I28" s="9"/>
      <c r="J28" s="22" t="s">
        <v>58</v>
      </c>
      <c r="K28" s="132">
        <v>2000</v>
      </c>
      <c r="L28" s="206">
        <f t="shared" si="1"/>
        <v>77888</v>
      </c>
      <c r="M28" s="72" t="s">
        <v>92</v>
      </c>
      <c r="N28" s="72" t="s">
        <v>49</v>
      </c>
    </row>
    <row r="29" spans="1:14" x14ac:dyDescent="0.25">
      <c r="A29">
        <v>23</v>
      </c>
      <c r="B29" s="7" t="s">
        <v>25</v>
      </c>
      <c r="C29" s="7" t="s">
        <v>38</v>
      </c>
      <c r="D29" s="8" t="s">
        <v>29</v>
      </c>
      <c r="E29" s="8" t="s">
        <v>63</v>
      </c>
      <c r="F29" s="18" t="s">
        <v>244</v>
      </c>
      <c r="G29" s="9"/>
      <c r="H29" s="37" t="s">
        <v>74</v>
      </c>
      <c r="I29" s="9"/>
      <c r="J29" s="28" t="s">
        <v>59</v>
      </c>
      <c r="K29" s="46">
        <v>21500</v>
      </c>
      <c r="L29" s="206">
        <f t="shared" si="1"/>
        <v>56388</v>
      </c>
      <c r="M29" s="72" t="s">
        <v>92</v>
      </c>
    </row>
    <row r="30" spans="1:14" x14ac:dyDescent="0.25">
      <c r="A30">
        <v>24</v>
      </c>
      <c r="B30" s="7" t="s">
        <v>25</v>
      </c>
      <c r="C30" s="7" t="s">
        <v>26</v>
      </c>
      <c r="D30" s="8" t="s">
        <v>30</v>
      </c>
      <c r="E30" s="8" t="s">
        <v>65</v>
      </c>
      <c r="F30" s="18" t="s">
        <v>245</v>
      </c>
      <c r="G30" s="9"/>
      <c r="H30" s="37" t="s">
        <v>74</v>
      </c>
      <c r="I30" s="9"/>
      <c r="J30" s="28" t="s">
        <v>59</v>
      </c>
      <c r="K30" s="132">
        <v>600</v>
      </c>
      <c r="L30" s="206">
        <f t="shared" si="1"/>
        <v>55788</v>
      </c>
      <c r="M30" s="72" t="s">
        <v>92</v>
      </c>
    </row>
    <row r="31" spans="1:14" ht="29.25" x14ac:dyDescent="0.25">
      <c r="A31">
        <v>25</v>
      </c>
      <c r="B31" s="7" t="s">
        <v>26</v>
      </c>
      <c r="C31" s="7" t="s">
        <v>26</v>
      </c>
      <c r="D31" s="31" t="s">
        <v>40</v>
      </c>
      <c r="E31" s="11" t="s">
        <v>52</v>
      </c>
      <c r="F31" s="18" t="s">
        <v>246</v>
      </c>
      <c r="G31" s="9"/>
      <c r="H31" s="38" t="s">
        <v>75</v>
      </c>
      <c r="I31" s="28" t="s">
        <v>59</v>
      </c>
      <c r="J31" s="28" t="s">
        <v>59</v>
      </c>
      <c r="K31" s="46">
        <v>19068</v>
      </c>
      <c r="L31" s="206">
        <f t="shared" si="1"/>
        <v>36720</v>
      </c>
      <c r="M31" s="72" t="s">
        <v>92</v>
      </c>
    </row>
    <row r="32" spans="1:14" x14ac:dyDescent="0.25">
      <c r="A32">
        <v>26</v>
      </c>
      <c r="B32" s="7" t="s">
        <v>26</v>
      </c>
      <c r="C32" s="7" t="s">
        <v>38</v>
      </c>
      <c r="D32" s="8" t="s">
        <v>31</v>
      </c>
      <c r="E32" s="8" t="s">
        <v>63</v>
      </c>
      <c r="F32" s="18" t="s">
        <v>247</v>
      </c>
      <c r="G32" s="9"/>
      <c r="H32" s="37" t="s">
        <v>74</v>
      </c>
      <c r="I32" s="9"/>
      <c r="J32" s="28" t="s">
        <v>59</v>
      </c>
      <c r="K32" s="46">
        <v>1380</v>
      </c>
      <c r="L32" s="206">
        <f t="shared" si="1"/>
        <v>35340</v>
      </c>
      <c r="M32" s="72" t="s">
        <v>92</v>
      </c>
    </row>
    <row r="33" spans="1:14" x14ac:dyDescent="0.25">
      <c r="A33">
        <v>27</v>
      </c>
      <c r="B33" s="7" t="s">
        <v>37</v>
      </c>
      <c r="C33" s="7" t="s">
        <v>38</v>
      </c>
      <c r="D33" s="8" t="s">
        <v>34</v>
      </c>
      <c r="E33" s="8" t="s">
        <v>66</v>
      </c>
      <c r="F33" s="18" t="s">
        <v>248</v>
      </c>
      <c r="G33" s="18"/>
      <c r="H33" s="37" t="s">
        <v>74</v>
      </c>
      <c r="I33" s="18"/>
      <c r="J33" s="28" t="s">
        <v>59</v>
      </c>
      <c r="K33" s="46">
        <v>10000</v>
      </c>
      <c r="L33" s="206">
        <f t="shared" si="1"/>
        <v>25340</v>
      </c>
      <c r="M33" s="72" t="s">
        <v>92</v>
      </c>
    </row>
    <row r="34" spans="1:14" x14ac:dyDescent="0.25">
      <c r="A34">
        <v>28</v>
      </c>
      <c r="B34" s="7" t="s">
        <v>37</v>
      </c>
      <c r="C34" s="7" t="s">
        <v>38</v>
      </c>
      <c r="D34" s="8" t="s">
        <v>35</v>
      </c>
      <c r="E34" s="8"/>
      <c r="F34" s="18" t="s">
        <v>249</v>
      </c>
      <c r="G34" s="18"/>
      <c r="H34" s="37" t="s">
        <v>74</v>
      </c>
      <c r="I34" s="18"/>
      <c r="J34" s="22" t="s">
        <v>58</v>
      </c>
      <c r="K34" s="132">
        <v>1000</v>
      </c>
      <c r="L34" s="206">
        <f t="shared" si="1"/>
        <v>24340</v>
      </c>
      <c r="M34" s="72" t="s">
        <v>92</v>
      </c>
      <c r="N34" s="72" t="s">
        <v>91</v>
      </c>
    </row>
    <row r="35" spans="1:14" x14ac:dyDescent="0.25">
      <c r="A35">
        <v>29</v>
      </c>
      <c r="B35" s="7" t="s">
        <v>37</v>
      </c>
      <c r="C35" s="7" t="s">
        <v>38</v>
      </c>
      <c r="D35" s="8" t="s">
        <v>36</v>
      </c>
      <c r="E35" s="8"/>
      <c r="F35" s="18" t="s">
        <v>250</v>
      </c>
      <c r="G35" s="18"/>
      <c r="H35" s="37" t="s">
        <v>74</v>
      </c>
      <c r="I35" s="18"/>
      <c r="J35" s="28" t="s">
        <v>59</v>
      </c>
      <c r="K35" s="132">
        <v>6000</v>
      </c>
      <c r="L35" s="206">
        <f t="shared" si="1"/>
        <v>18340</v>
      </c>
      <c r="M35" s="72" t="s">
        <v>92</v>
      </c>
    </row>
    <row r="36" spans="1:14" x14ac:dyDescent="0.25">
      <c r="A36">
        <v>30</v>
      </c>
      <c r="B36" s="7" t="s">
        <v>38</v>
      </c>
      <c r="C36" s="7" t="s">
        <v>38</v>
      </c>
      <c r="D36" s="8" t="s">
        <v>39</v>
      </c>
      <c r="E36" s="8" t="s">
        <v>62</v>
      </c>
      <c r="F36" s="18" t="s">
        <v>251</v>
      </c>
      <c r="G36" s="18"/>
      <c r="H36" s="38" t="s">
        <v>75</v>
      </c>
      <c r="I36" s="18"/>
      <c r="J36" s="28" t="s">
        <v>59</v>
      </c>
      <c r="K36" s="46">
        <v>1650</v>
      </c>
      <c r="L36" s="206">
        <f t="shared" si="1"/>
        <v>16690</v>
      </c>
      <c r="M36" s="72" t="s">
        <v>92</v>
      </c>
    </row>
    <row r="37" spans="1:14" x14ac:dyDescent="0.25">
      <c r="A37">
        <v>31</v>
      </c>
      <c r="B37" s="7" t="s">
        <v>38</v>
      </c>
      <c r="C37" s="7" t="s">
        <v>38</v>
      </c>
      <c r="D37" s="21" t="s">
        <v>41</v>
      </c>
      <c r="E37" s="21" t="s">
        <v>67</v>
      </c>
      <c r="F37" s="18" t="s">
        <v>252</v>
      </c>
      <c r="G37" s="18"/>
      <c r="H37" s="38" t="s">
        <v>75</v>
      </c>
      <c r="I37" s="18"/>
      <c r="J37" s="28" t="s">
        <v>59</v>
      </c>
      <c r="K37" s="46">
        <v>10000</v>
      </c>
      <c r="L37" s="206">
        <f t="shared" si="1"/>
        <v>6690</v>
      </c>
      <c r="M37" s="72" t="s">
        <v>92</v>
      </c>
    </row>
    <row r="38" spans="1:14" x14ac:dyDescent="0.25">
      <c r="A38">
        <v>32</v>
      </c>
      <c r="B38" s="7" t="s">
        <v>38</v>
      </c>
      <c r="C38" s="7" t="s">
        <v>38</v>
      </c>
      <c r="D38" s="21" t="s">
        <v>69</v>
      </c>
      <c r="E38" s="21" t="s">
        <v>68</v>
      </c>
      <c r="F38" s="18" t="s">
        <v>253</v>
      </c>
      <c r="G38" s="9"/>
      <c r="H38" s="38" t="s">
        <v>75</v>
      </c>
      <c r="I38" s="9"/>
      <c r="J38" s="28" t="s">
        <v>59</v>
      </c>
      <c r="K38" s="46">
        <v>1950</v>
      </c>
      <c r="L38" s="206">
        <f t="shared" si="1"/>
        <v>4740</v>
      </c>
      <c r="M38" s="72" t="s">
        <v>92</v>
      </c>
    </row>
    <row r="39" spans="1:14" ht="29.25" x14ac:dyDescent="0.25">
      <c r="A39">
        <v>33</v>
      </c>
      <c r="B39" s="7" t="s">
        <v>38</v>
      </c>
      <c r="C39" s="7" t="s">
        <v>38</v>
      </c>
      <c r="D39" s="32" t="s">
        <v>42</v>
      </c>
      <c r="E39" s="21" t="s">
        <v>56</v>
      </c>
      <c r="F39" s="18" t="s">
        <v>254</v>
      </c>
      <c r="G39" s="9"/>
      <c r="H39" s="38" t="s">
        <v>75</v>
      </c>
      <c r="I39" s="9"/>
      <c r="J39" s="28" t="s">
        <v>59</v>
      </c>
      <c r="K39" s="46">
        <v>5290</v>
      </c>
      <c r="L39" s="206">
        <f t="shared" si="1"/>
        <v>-550</v>
      </c>
      <c r="M39" s="72" t="s">
        <v>92</v>
      </c>
    </row>
    <row r="40" spans="1:14" x14ac:dyDescent="0.25">
      <c r="A40">
        <v>34</v>
      </c>
      <c r="B40" s="7" t="s">
        <v>38</v>
      </c>
      <c r="C40" s="7" t="s">
        <v>38</v>
      </c>
      <c r="D40" s="21" t="s">
        <v>43</v>
      </c>
      <c r="E40" s="21" t="s">
        <v>56</v>
      </c>
      <c r="F40" s="18" t="s">
        <v>255</v>
      </c>
      <c r="G40" s="18"/>
      <c r="H40" s="38" t="s">
        <v>75</v>
      </c>
      <c r="I40" s="18"/>
      <c r="J40" s="28" t="s">
        <v>59</v>
      </c>
      <c r="K40" s="46">
        <v>1728</v>
      </c>
      <c r="L40" s="206">
        <f t="shared" si="1"/>
        <v>-2278</v>
      </c>
      <c r="M40" s="72" t="s">
        <v>92</v>
      </c>
    </row>
    <row r="41" spans="1:14" x14ac:dyDescent="0.25">
      <c r="A41">
        <v>35</v>
      </c>
      <c r="B41" s="7" t="s">
        <v>38</v>
      </c>
      <c r="C41" s="7" t="s">
        <v>38</v>
      </c>
      <c r="D41" s="21" t="s">
        <v>44</v>
      </c>
      <c r="E41" s="21" t="s">
        <v>70</v>
      </c>
      <c r="F41" s="18" t="s">
        <v>256</v>
      </c>
      <c r="G41" s="18"/>
      <c r="H41" s="38" t="s">
        <v>75</v>
      </c>
      <c r="I41" s="18"/>
      <c r="J41" s="28" t="s">
        <v>59</v>
      </c>
      <c r="K41" s="46">
        <v>1017</v>
      </c>
      <c r="L41" s="206">
        <f t="shared" si="1"/>
        <v>-3295</v>
      </c>
      <c r="M41" s="72" t="s">
        <v>92</v>
      </c>
    </row>
    <row r="42" spans="1:14" s="59" customFormat="1" x14ac:dyDescent="0.25">
      <c r="A42" s="51">
        <v>36</v>
      </c>
      <c r="B42" s="56" t="s">
        <v>38</v>
      </c>
      <c r="C42" s="50" t="s">
        <v>38</v>
      </c>
      <c r="D42" s="51" t="s">
        <v>81</v>
      </c>
      <c r="E42" s="57"/>
      <c r="F42" s="18" t="s">
        <v>257</v>
      </c>
      <c r="G42" s="58"/>
      <c r="H42" s="38" t="s">
        <v>86</v>
      </c>
      <c r="I42" s="58"/>
      <c r="J42" s="28" t="s">
        <v>59</v>
      </c>
      <c r="K42" s="46">
        <v>4324</v>
      </c>
      <c r="L42" s="208">
        <f t="shared" si="1"/>
        <v>-7619</v>
      </c>
      <c r="M42" s="72" t="s">
        <v>92</v>
      </c>
    </row>
    <row r="43" spans="1:14" x14ac:dyDescent="0.25">
      <c r="A43" s="35">
        <v>37</v>
      </c>
      <c r="B43" s="34" t="s">
        <v>46</v>
      </c>
      <c r="C43" s="34" t="s">
        <v>46</v>
      </c>
      <c r="D43" s="35" t="s">
        <v>71</v>
      </c>
      <c r="E43" s="205"/>
      <c r="F43" s="205" t="s">
        <v>258</v>
      </c>
      <c r="G43" s="36"/>
      <c r="H43" s="37" t="s">
        <v>74</v>
      </c>
      <c r="I43" s="36"/>
      <c r="J43" s="36" t="s">
        <v>59</v>
      </c>
      <c r="K43" s="132">
        <v>448</v>
      </c>
      <c r="L43" s="68">
        <f t="shared" si="1"/>
        <v>-8067</v>
      </c>
      <c r="M43" s="72"/>
    </row>
    <row r="44" spans="1:14" x14ac:dyDescent="0.25">
      <c r="A44" s="51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68">
        <f t="shared" si="1"/>
        <v>-8067</v>
      </c>
    </row>
    <row r="45" spans="1:14" x14ac:dyDescent="0.25">
      <c r="A45" s="51"/>
      <c r="D45" s="225" t="s">
        <v>13</v>
      </c>
      <c r="E45" s="225"/>
      <c r="F45" s="225"/>
      <c r="G45" s="225"/>
      <c r="H45" s="225"/>
      <c r="I45" s="225"/>
      <c r="J45" s="225"/>
      <c r="K45" s="226"/>
      <c r="L45" s="64">
        <f t="shared" ref="L45" si="2">L44-K45</f>
        <v>-8067</v>
      </c>
    </row>
    <row r="46" spans="1:14" x14ac:dyDescent="0.25">
      <c r="E46" s="49"/>
      <c r="G46" s="87"/>
      <c r="H46" s="87"/>
      <c r="I46" s="87"/>
      <c r="J46" s="87"/>
      <c r="K46" s="87"/>
      <c r="L46" s="13"/>
    </row>
    <row r="47" spans="1:14" x14ac:dyDescent="0.25">
      <c r="E47" s="49"/>
      <c r="G47" s="87"/>
      <c r="H47" s="87"/>
      <c r="I47" s="87"/>
      <c r="J47" s="87"/>
      <c r="K47" s="87" t="s">
        <v>14</v>
      </c>
      <c r="L47" s="14">
        <f>L45</f>
        <v>-8067</v>
      </c>
    </row>
  </sheetData>
  <autoFilter ref="A5:O45"/>
  <mergeCells count="3">
    <mergeCell ref="B1:L1"/>
    <mergeCell ref="C3:D3"/>
    <mergeCell ref="D45:K45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6"/>
  <sheetViews>
    <sheetView topLeftCell="A97" zoomScale="90" zoomScaleNormal="90" workbookViewId="0">
      <selection activeCell="K76" sqref="K76"/>
    </sheetView>
  </sheetViews>
  <sheetFormatPr defaultRowHeight="15.75" x14ac:dyDescent="0.25"/>
  <cols>
    <col min="1" max="1" width="5.42578125" style="95" customWidth="1"/>
    <col min="2" max="2" width="12.7109375" style="110" customWidth="1"/>
    <col min="3" max="3" width="12.28515625" customWidth="1"/>
    <col min="4" max="4" width="41.85546875" customWidth="1"/>
    <col min="5" max="5" width="27.42578125" customWidth="1"/>
    <col min="6" max="6" width="17.42578125" customWidth="1"/>
    <col min="7" max="7" width="14.42578125" customWidth="1"/>
    <col min="8" max="8" width="13.7109375" style="127" customWidth="1"/>
    <col min="9" max="9" width="10.42578125" customWidth="1"/>
    <col min="10" max="10" width="13.5703125" style="95" customWidth="1"/>
    <col min="11" max="11" width="13.7109375" style="100" customWidth="1"/>
    <col min="12" max="12" width="16.28515625" style="100" bestFit="1" customWidth="1"/>
    <col min="13" max="13" width="13.140625" style="70" customWidth="1"/>
    <col min="15" max="15" width="12.140625" customWidth="1"/>
    <col min="16" max="16" width="10.5703125" bestFit="1" customWidth="1"/>
  </cols>
  <sheetData>
    <row r="1" spans="1:15" ht="18" x14ac:dyDescent="0.25">
      <c r="B1" s="222" t="s">
        <v>0</v>
      </c>
      <c r="C1" s="223"/>
      <c r="D1" s="223"/>
      <c r="E1" s="223"/>
      <c r="F1" s="223"/>
      <c r="G1" s="223"/>
      <c r="H1" s="231"/>
      <c r="I1" s="223"/>
      <c r="J1" s="223"/>
      <c r="K1" s="223"/>
      <c r="L1" s="224"/>
    </row>
    <row r="2" spans="1:15" x14ac:dyDescent="0.25">
      <c r="B2" s="104"/>
      <c r="L2" s="121"/>
    </row>
    <row r="3" spans="1:15" x14ac:dyDescent="0.25">
      <c r="B3" s="105" t="s">
        <v>1</v>
      </c>
      <c r="C3" s="227">
        <v>46113</v>
      </c>
      <c r="D3" s="227"/>
      <c r="E3" s="88"/>
      <c r="F3" s="88"/>
      <c r="L3" s="121"/>
    </row>
    <row r="4" spans="1:15" x14ac:dyDescent="0.25">
      <c r="B4" s="106"/>
      <c r="C4" s="5"/>
      <c r="D4" s="5"/>
      <c r="E4" s="5"/>
      <c r="F4" s="5"/>
      <c r="G4" s="5"/>
      <c r="H4" s="128"/>
      <c r="I4" s="5"/>
      <c r="J4" s="147"/>
      <c r="K4" s="101"/>
      <c r="L4" s="122"/>
    </row>
    <row r="5" spans="1:15" ht="47.25" x14ac:dyDescent="0.25">
      <c r="B5" s="107" t="s">
        <v>2</v>
      </c>
      <c r="C5" s="26" t="s">
        <v>3</v>
      </c>
      <c r="D5" s="27" t="s">
        <v>87</v>
      </c>
      <c r="E5" s="27" t="s">
        <v>51</v>
      </c>
      <c r="F5" s="27" t="s">
        <v>15</v>
      </c>
      <c r="G5" s="27" t="s">
        <v>4</v>
      </c>
      <c r="H5" s="129" t="s">
        <v>93</v>
      </c>
      <c r="I5" s="27" t="s">
        <v>73</v>
      </c>
      <c r="J5" s="27" t="s">
        <v>57</v>
      </c>
      <c r="K5" s="102" t="s">
        <v>5</v>
      </c>
      <c r="L5" s="123" t="s">
        <v>6</v>
      </c>
      <c r="M5" s="74" t="s">
        <v>90</v>
      </c>
    </row>
    <row r="6" spans="1:15" x14ac:dyDescent="0.25">
      <c r="B6" s="108"/>
      <c r="C6" s="10"/>
      <c r="D6" s="11"/>
      <c r="E6" s="11"/>
      <c r="F6" s="155">
        <v>46107</v>
      </c>
      <c r="G6" s="126">
        <v>208067</v>
      </c>
      <c r="H6" s="96"/>
      <c r="I6" s="12"/>
      <c r="J6" s="97"/>
      <c r="K6" s="114">
        <v>8067</v>
      </c>
      <c r="L6" s="125">
        <f>G6-K6</f>
        <v>200000</v>
      </c>
      <c r="M6" s="71" t="s">
        <v>143</v>
      </c>
      <c r="N6" s="19"/>
      <c r="O6" s="19"/>
    </row>
    <row r="7" spans="1:15" x14ac:dyDescent="0.25">
      <c r="A7" s="99">
        <v>1</v>
      </c>
      <c r="B7" s="109">
        <v>46102</v>
      </c>
      <c r="C7" s="109">
        <v>46102</v>
      </c>
      <c r="D7" s="51" t="s">
        <v>47</v>
      </c>
      <c r="E7" s="51"/>
      <c r="F7" s="51"/>
      <c r="G7" s="29"/>
      <c r="H7" s="133" t="s">
        <v>189</v>
      </c>
      <c r="I7" s="29"/>
      <c r="J7" s="137" t="s">
        <v>96</v>
      </c>
      <c r="K7" s="134">
        <v>850</v>
      </c>
      <c r="L7" s="124">
        <f>L6+G7-K7</f>
        <v>199150</v>
      </c>
      <c r="M7" s="142" t="s">
        <v>177</v>
      </c>
      <c r="O7" s="115"/>
    </row>
    <row r="8" spans="1:15" x14ac:dyDescent="0.25">
      <c r="A8" s="99">
        <f>+A7+1</f>
        <v>2</v>
      </c>
      <c r="B8" s="109">
        <v>46102</v>
      </c>
      <c r="C8" s="109">
        <v>46102</v>
      </c>
      <c r="D8" s="51" t="s">
        <v>48</v>
      </c>
      <c r="E8" s="51"/>
      <c r="F8" s="51"/>
      <c r="G8" s="29"/>
      <c r="H8" s="133" t="s">
        <v>189</v>
      </c>
      <c r="I8" s="29"/>
      <c r="J8" s="137" t="s">
        <v>96</v>
      </c>
      <c r="K8" s="134">
        <v>360</v>
      </c>
      <c r="L8" s="124">
        <f t="shared" ref="L8:L89" si="0">L7+G8-K8</f>
        <v>198790</v>
      </c>
      <c r="M8" s="142" t="s">
        <v>177</v>
      </c>
      <c r="O8" s="115"/>
    </row>
    <row r="9" spans="1:15" x14ac:dyDescent="0.25">
      <c r="A9" s="99">
        <f t="shared" ref="A9:A72" si="1">+A8+1</f>
        <v>3</v>
      </c>
      <c r="B9" s="109">
        <v>46104</v>
      </c>
      <c r="C9" s="109">
        <v>46102</v>
      </c>
      <c r="D9" s="51" t="s">
        <v>99</v>
      </c>
      <c r="E9" s="51"/>
      <c r="F9" s="51"/>
      <c r="G9" s="29"/>
      <c r="H9" s="133" t="s">
        <v>189</v>
      </c>
      <c r="I9" s="29"/>
      <c r="J9" s="137" t="s">
        <v>96</v>
      </c>
      <c r="K9" s="134">
        <v>170</v>
      </c>
      <c r="L9" s="124">
        <f t="shared" si="0"/>
        <v>198620</v>
      </c>
      <c r="M9" s="142" t="s">
        <v>177</v>
      </c>
      <c r="O9" s="115"/>
    </row>
    <row r="10" spans="1:15" x14ac:dyDescent="0.25">
      <c r="A10" s="99">
        <f t="shared" si="1"/>
        <v>4</v>
      </c>
      <c r="B10" s="109">
        <v>46105</v>
      </c>
      <c r="C10" s="109">
        <v>46105</v>
      </c>
      <c r="D10" s="51" t="s">
        <v>39</v>
      </c>
      <c r="E10" s="51" t="s">
        <v>72</v>
      </c>
      <c r="F10" s="51"/>
      <c r="G10" s="29"/>
      <c r="H10" s="97" t="s">
        <v>176</v>
      </c>
      <c r="I10" s="29"/>
      <c r="J10" s="137" t="s">
        <v>96</v>
      </c>
      <c r="K10" s="134">
        <v>565</v>
      </c>
      <c r="L10" s="124">
        <f t="shared" si="0"/>
        <v>198055</v>
      </c>
      <c r="M10" s="142" t="s">
        <v>177</v>
      </c>
      <c r="O10" s="115"/>
    </row>
    <row r="11" spans="1:15" x14ac:dyDescent="0.25">
      <c r="A11" s="99">
        <f t="shared" si="1"/>
        <v>5</v>
      </c>
      <c r="B11" s="109">
        <v>46105</v>
      </c>
      <c r="C11" s="109">
        <v>46105</v>
      </c>
      <c r="D11" s="51" t="s">
        <v>39</v>
      </c>
      <c r="E11" s="51" t="s">
        <v>72</v>
      </c>
      <c r="F11" s="51"/>
      <c r="G11" s="29"/>
      <c r="H11" s="97" t="s">
        <v>176</v>
      </c>
      <c r="I11" s="29"/>
      <c r="J11" s="137" t="s">
        <v>96</v>
      </c>
      <c r="K11" s="134">
        <v>642</v>
      </c>
      <c r="L11" s="124">
        <f t="shared" si="0"/>
        <v>197413</v>
      </c>
      <c r="M11" s="142" t="s">
        <v>177</v>
      </c>
      <c r="O11" s="115"/>
    </row>
    <row r="12" spans="1:15" x14ac:dyDescent="0.25">
      <c r="A12" s="99">
        <f t="shared" si="1"/>
        <v>6</v>
      </c>
      <c r="B12" s="109">
        <v>46105</v>
      </c>
      <c r="C12" s="109">
        <v>46105</v>
      </c>
      <c r="D12" s="51" t="s">
        <v>39</v>
      </c>
      <c r="E12" s="51" t="s">
        <v>62</v>
      </c>
      <c r="F12" s="51"/>
      <c r="G12" s="29"/>
      <c r="H12" s="97" t="s">
        <v>176</v>
      </c>
      <c r="I12" s="29"/>
      <c r="J12" s="137" t="s">
        <v>96</v>
      </c>
      <c r="K12" s="134">
        <v>4530</v>
      </c>
      <c r="L12" s="124">
        <f t="shared" si="0"/>
        <v>192883</v>
      </c>
      <c r="M12" s="142" t="s">
        <v>177</v>
      </c>
      <c r="O12" s="115"/>
    </row>
    <row r="13" spans="1:15" x14ac:dyDescent="0.25">
      <c r="A13" s="99">
        <f t="shared" si="1"/>
        <v>7</v>
      </c>
      <c r="B13" s="109">
        <v>46107</v>
      </c>
      <c r="C13" s="109">
        <v>46107</v>
      </c>
      <c r="D13" s="51" t="s">
        <v>88</v>
      </c>
      <c r="E13" s="60" t="s">
        <v>84</v>
      </c>
      <c r="F13" s="51"/>
      <c r="G13" s="29"/>
      <c r="H13" s="97" t="s">
        <v>190</v>
      </c>
      <c r="I13" s="29"/>
      <c r="J13" s="137" t="s">
        <v>96</v>
      </c>
      <c r="K13" s="134">
        <v>3500</v>
      </c>
      <c r="L13" s="124">
        <f t="shared" si="0"/>
        <v>189383</v>
      </c>
      <c r="M13" s="142" t="s">
        <v>177</v>
      </c>
      <c r="O13" s="115"/>
    </row>
    <row r="14" spans="1:15" x14ac:dyDescent="0.25">
      <c r="A14" s="99">
        <f t="shared" si="1"/>
        <v>8</v>
      </c>
      <c r="B14" s="109">
        <v>46107</v>
      </c>
      <c r="C14" s="109">
        <v>46107</v>
      </c>
      <c r="D14" s="51" t="s">
        <v>89</v>
      </c>
      <c r="E14" s="61" t="s">
        <v>130</v>
      </c>
      <c r="F14" s="92"/>
      <c r="G14" s="29"/>
      <c r="H14" s="97" t="s">
        <v>190</v>
      </c>
      <c r="I14" s="29"/>
      <c r="J14" s="137" t="s">
        <v>96</v>
      </c>
      <c r="K14" s="134">
        <v>600</v>
      </c>
      <c r="L14" s="124">
        <f t="shared" si="0"/>
        <v>188783</v>
      </c>
      <c r="M14" s="142" t="s">
        <v>177</v>
      </c>
      <c r="O14" s="115"/>
    </row>
    <row r="15" spans="1:15" x14ac:dyDescent="0.25">
      <c r="A15" s="99">
        <f t="shared" si="1"/>
        <v>9</v>
      </c>
      <c r="B15" s="109">
        <v>46107</v>
      </c>
      <c r="C15" s="109">
        <v>46107</v>
      </c>
      <c r="D15" s="51" t="s">
        <v>101</v>
      </c>
      <c r="E15" s="61"/>
      <c r="F15" s="92"/>
      <c r="G15" s="29"/>
      <c r="H15" s="133" t="s">
        <v>189</v>
      </c>
      <c r="I15" s="29"/>
      <c r="J15" s="137" t="s">
        <v>96</v>
      </c>
      <c r="K15" s="134">
        <v>3300</v>
      </c>
      <c r="L15" s="124">
        <f t="shared" si="0"/>
        <v>185483</v>
      </c>
      <c r="M15" s="142" t="s">
        <v>177</v>
      </c>
      <c r="O15" s="115"/>
    </row>
    <row r="16" spans="1:15" x14ac:dyDescent="0.25">
      <c r="A16" s="99">
        <f t="shared" si="1"/>
        <v>10</v>
      </c>
      <c r="B16" s="109">
        <v>46108</v>
      </c>
      <c r="C16" s="109">
        <v>46108</v>
      </c>
      <c r="D16" s="51" t="s">
        <v>95</v>
      </c>
      <c r="E16" s="51" t="s">
        <v>52</v>
      </c>
      <c r="F16" s="51"/>
      <c r="G16" s="29"/>
      <c r="H16" s="97" t="s">
        <v>176</v>
      </c>
      <c r="I16" s="29"/>
      <c r="J16" s="137" t="s">
        <v>96</v>
      </c>
      <c r="K16" s="134">
        <v>7505</v>
      </c>
      <c r="L16" s="124">
        <f t="shared" si="0"/>
        <v>177978</v>
      </c>
      <c r="M16" s="142" t="s">
        <v>177</v>
      </c>
      <c r="O16" s="115"/>
    </row>
    <row r="17" spans="1:15" x14ac:dyDescent="0.25">
      <c r="A17" s="99">
        <f t="shared" si="1"/>
        <v>11</v>
      </c>
      <c r="B17" s="109">
        <v>46111</v>
      </c>
      <c r="C17" s="109">
        <v>46108</v>
      </c>
      <c r="D17" s="51" t="s">
        <v>104</v>
      </c>
      <c r="E17" s="93"/>
      <c r="F17" s="93"/>
      <c r="G17" s="93"/>
      <c r="H17" s="133" t="s">
        <v>189</v>
      </c>
      <c r="I17" s="93"/>
      <c r="J17" s="137" t="s">
        <v>96</v>
      </c>
      <c r="K17" s="134">
        <v>130</v>
      </c>
      <c r="L17" s="124">
        <f t="shared" si="0"/>
        <v>177848</v>
      </c>
      <c r="M17" s="142" t="s">
        <v>177</v>
      </c>
      <c r="O17" s="115"/>
    </row>
    <row r="18" spans="1:15" x14ac:dyDescent="0.25">
      <c r="A18" s="99">
        <f t="shared" si="1"/>
        <v>12</v>
      </c>
      <c r="B18" s="109">
        <v>46111</v>
      </c>
      <c r="C18" s="109">
        <v>46108</v>
      </c>
      <c r="D18" s="51" t="s">
        <v>110</v>
      </c>
      <c r="E18" s="89"/>
      <c r="F18" s="89"/>
      <c r="G18" s="89"/>
      <c r="H18" s="133" t="s">
        <v>189</v>
      </c>
      <c r="I18" s="89"/>
      <c r="J18" s="137" t="s">
        <v>96</v>
      </c>
      <c r="K18" s="134">
        <v>630</v>
      </c>
      <c r="L18" s="124">
        <f t="shared" si="0"/>
        <v>177218</v>
      </c>
      <c r="M18" s="142" t="s">
        <v>177</v>
      </c>
      <c r="O18" s="115"/>
    </row>
    <row r="19" spans="1:15" x14ac:dyDescent="0.25">
      <c r="A19" s="99">
        <f t="shared" si="1"/>
        <v>13</v>
      </c>
      <c r="B19" s="109">
        <v>46112</v>
      </c>
      <c r="C19" s="109">
        <v>46108</v>
      </c>
      <c r="D19" s="51" t="s">
        <v>105</v>
      </c>
      <c r="E19" s="89"/>
      <c r="F19" s="89"/>
      <c r="G19" s="89"/>
      <c r="H19" s="133" t="s">
        <v>189</v>
      </c>
      <c r="I19" s="89"/>
      <c r="J19" s="137" t="s">
        <v>96</v>
      </c>
      <c r="K19" s="134">
        <v>300</v>
      </c>
      <c r="L19" s="124">
        <f t="shared" si="0"/>
        <v>176918</v>
      </c>
      <c r="M19" s="142" t="s">
        <v>177</v>
      </c>
      <c r="O19" s="115"/>
    </row>
    <row r="20" spans="1:15" s="130" customFormat="1" x14ac:dyDescent="0.25">
      <c r="A20" s="99">
        <f t="shared" si="1"/>
        <v>14</v>
      </c>
      <c r="B20" s="109">
        <v>46112</v>
      </c>
      <c r="C20" s="109">
        <v>46108</v>
      </c>
      <c r="D20" s="51" t="s">
        <v>106</v>
      </c>
      <c r="E20" s="89"/>
      <c r="F20" s="89"/>
      <c r="G20" s="89"/>
      <c r="H20" s="97" t="s">
        <v>176</v>
      </c>
      <c r="I20" s="89"/>
      <c r="J20" s="137" t="s">
        <v>96</v>
      </c>
      <c r="K20" s="134">
        <v>1200</v>
      </c>
      <c r="L20" s="124">
        <f t="shared" si="0"/>
        <v>175718</v>
      </c>
      <c r="M20" s="142" t="s">
        <v>177</v>
      </c>
      <c r="O20" s="131"/>
    </row>
    <row r="21" spans="1:15" x14ac:dyDescent="0.25">
      <c r="A21" s="99">
        <f t="shared" si="1"/>
        <v>15</v>
      </c>
      <c r="B21" s="109">
        <v>46113</v>
      </c>
      <c r="C21" s="109">
        <v>46108</v>
      </c>
      <c r="D21" s="51" t="s">
        <v>104</v>
      </c>
      <c r="E21" s="89"/>
      <c r="F21" s="89"/>
      <c r="G21" s="89"/>
      <c r="H21" s="133" t="s">
        <v>189</v>
      </c>
      <c r="I21" s="89"/>
      <c r="J21" s="137" t="s">
        <v>96</v>
      </c>
      <c r="K21" s="134">
        <v>260</v>
      </c>
      <c r="L21" s="124">
        <f t="shared" si="0"/>
        <v>175458</v>
      </c>
      <c r="M21" s="142" t="s">
        <v>177</v>
      </c>
      <c r="O21" s="115"/>
    </row>
    <row r="22" spans="1:15" x14ac:dyDescent="0.25">
      <c r="A22" s="99">
        <f t="shared" si="1"/>
        <v>16</v>
      </c>
      <c r="B22" s="109">
        <v>46113</v>
      </c>
      <c r="C22" s="109">
        <v>46108</v>
      </c>
      <c r="D22" s="90" t="s">
        <v>111</v>
      </c>
      <c r="E22" s="51" t="s">
        <v>52</v>
      </c>
      <c r="F22" s="89"/>
      <c r="G22" s="89"/>
      <c r="H22" s="97" t="s">
        <v>176</v>
      </c>
      <c r="I22" s="89"/>
      <c r="J22" s="137" t="s">
        <v>96</v>
      </c>
      <c r="K22" s="134">
        <f>300+600+500+560+500+2000</f>
        <v>4460</v>
      </c>
      <c r="L22" s="124">
        <f t="shared" si="0"/>
        <v>170998</v>
      </c>
      <c r="M22" s="142" t="s">
        <v>177</v>
      </c>
      <c r="O22" s="115"/>
    </row>
    <row r="23" spans="1:15" x14ac:dyDescent="0.25">
      <c r="A23" s="99">
        <f t="shared" si="1"/>
        <v>17</v>
      </c>
      <c r="B23" s="109">
        <v>46113</v>
      </c>
      <c r="C23" s="109">
        <v>46108</v>
      </c>
      <c r="D23" s="90" t="s">
        <v>107</v>
      </c>
      <c r="E23" s="51" t="s">
        <v>52</v>
      </c>
      <c r="F23" s="89"/>
      <c r="G23" s="89"/>
      <c r="H23" s="97" t="s">
        <v>176</v>
      </c>
      <c r="I23" s="89"/>
      <c r="J23" s="137" t="s">
        <v>96</v>
      </c>
      <c r="K23" s="153">
        <v>10467</v>
      </c>
      <c r="L23" s="124">
        <f t="shared" si="0"/>
        <v>160531</v>
      </c>
      <c r="M23" s="142" t="s">
        <v>177</v>
      </c>
      <c r="O23" s="115"/>
    </row>
    <row r="24" spans="1:15" x14ac:dyDescent="0.25">
      <c r="A24" s="99">
        <f t="shared" si="1"/>
        <v>18</v>
      </c>
      <c r="B24" s="109">
        <v>46116</v>
      </c>
      <c r="C24" s="109">
        <v>46108</v>
      </c>
      <c r="D24" s="90" t="s">
        <v>115</v>
      </c>
      <c r="E24" s="90" t="s">
        <v>116</v>
      </c>
      <c r="F24" s="90"/>
      <c r="G24" s="90"/>
      <c r="H24" s="97" t="s">
        <v>176</v>
      </c>
      <c r="I24" s="90"/>
      <c r="J24" s="137" t="s">
        <v>96</v>
      </c>
      <c r="K24" s="138">
        <v>5838</v>
      </c>
      <c r="L24" s="124">
        <f t="shared" si="0"/>
        <v>154693</v>
      </c>
      <c r="M24" s="142" t="s">
        <v>177</v>
      </c>
      <c r="O24" s="115"/>
    </row>
    <row r="25" spans="1:15" x14ac:dyDescent="0.25">
      <c r="A25" s="99">
        <f t="shared" si="1"/>
        <v>19</v>
      </c>
      <c r="B25" s="109">
        <v>46116</v>
      </c>
      <c r="C25" s="109">
        <v>46108</v>
      </c>
      <c r="D25" s="90" t="s">
        <v>117</v>
      </c>
      <c r="E25" s="90" t="s">
        <v>118</v>
      </c>
      <c r="F25" s="90"/>
      <c r="G25" s="90"/>
      <c r="H25" s="97" t="s">
        <v>176</v>
      </c>
      <c r="I25" s="90"/>
      <c r="J25" s="137" t="s">
        <v>96</v>
      </c>
      <c r="K25" s="139">
        <v>840</v>
      </c>
      <c r="L25" s="124">
        <f t="shared" si="0"/>
        <v>153853</v>
      </c>
      <c r="M25" s="142" t="s">
        <v>177</v>
      </c>
      <c r="O25" s="115"/>
    </row>
    <row r="26" spans="1:15" x14ac:dyDescent="0.25">
      <c r="A26" s="99">
        <f t="shared" si="1"/>
        <v>20</v>
      </c>
      <c r="B26" s="109">
        <v>46116</v>
      </c>
      <c r="C26" s="109">
        <v>46108</v>
      </c>
      <c r="D26" s="90" t="s">
        <v>119</v>
      </c>
      <c r="E26" s="90" t="s">
        <v>120</v>
      </c>
      <c r="F26" s="90"/>
      <c r="G26" s="90"/>
      <c r="H26" s="97" t="s">
        <v>176</v>
      </c>
      <c r="I26" s="90"/>
      <c r="J26" s="137" t="s">
        <v>96</v>
      </c>
      <c r="K26" s="138">
        <v>293</v>
      </c>
      <c r="L26" s="124">
        <f t="shared" si="0"/>
        <v>153560</v>
      </c>
      <c r="M26" s="142" t="s">
        <v>177</v>
      </c>
      <c r="O26" s="115"/>
    </row>
    <row r="27" spans="1:15" x14ac:dyDescent="0.25">
      <c r="A27" s="99">
        <f t="shared" si="1"/>
        <v>21</v>
      </c>
      <c r="B27" s="109">
        <v>46119</v>
      </c>
      <c r="C27" s="109">
        <v>46108</v>
      </c>
      <c r="D27" s="90" t="s">
        <v>121</v>
      </c>
      <c r="E27" s="90"/>
      <c r="F27" s="90"/>
      <c r="G27" s="90"/>
      <c r="H27" s="133" t="s">
        <v>189</v>
      </c>
      <c r="I27" s="90"/>
      <c r="J27" s="137" t="s">
        <v>96</v>
      </c>
      <c r="K27" s="136">
        <v>560</v>
      </c>
      <c r="L27" s="124">
        <f t="shared" si="0"/>
        <v>153000</v>
      </c>
      <c r="M27" s="142" t="s">
        <v>177</v>
      </c>
      <c r="O27" s="115"/>
    </row>
    <row r="28" spans="1:15" x14ac:dyDescent="0.25">
      <c r="A28" s="99">
        <f t="shared" si="1"/>
        <v>22</v>
      </c>
      <c r="B28" s="109">
        <v>46119</v>
      </c>
      <c r="C28" s="109">
        <v>46108</v>
      </c>
      <c r="D28" s="90" t="s">
        <v>123</v>
      </c>
      <c r="E28" s="90"/>
      <c r="F28" s="90"/>
      <c r="G28" s="90"/>
      <c r="H28" s="133" t="s">
        <v>189</v>
      </c>
      <c r="I28" s="90"/>
      <c r="J28" s="137" t="s">
        <v>96</v>
      </c>
      <c r="K28" s="136">
        <v>75</v>
      </c>
      <c r="L28" s="124">
        <f t="shared" si="0"/>
        <v>152925</v>
      </c>
      <c r="M28" s="142" t="s">
        <v>177</v>
      </c>
      <c r="O28" s="115"/>
    </row>
    <row r="29" spans="1:15" s="119" customFormat="1" x14ac:dyDescent="0.25">
      <c r="A29" s="99">
        <f t="shared" si="1"/>
        <v>23</v>
      </c>
      <c r="B29" s="116">
        <v>46111</v>
      </c>
      <c r="C29" s="116">
        <v>46111</v>
      </c>
      <c r="D29" s="117" t="s">
        <v>144</v>
      </c>
      <c r="E29" s="117" t="s">
        <v>145</v>
      </c>
      <c r="F29" s="117" t="s">
        <v>146</v>
      </c>
      <c r="G29" s="117"/>
      <c r="H29" s="97" t="s">
        <v>176</v>
      </c>
      <c r="I29" s="117"/>
      <c r="J29" s="137" t="s">
        <v>96</v>
      </c>
      <c r="K29" s="135">
        <v>7505</v>
      </c>
      <c r="L29" s="124">
        <f t="shared" si="0"/>
        <v>145420</v>
      </c>
      <c r="M29" s="142" t="s">
        <v>177</v>
      </c>
      <c r="O29" s="120"/>
    </row>
    <row r="30" spans="1:15" x14ac:dyDescent="0.25">
      <c r="A30" s="99">
        <f t="shared" si="1"/>
        <v>24</v>
      </c>
      <c r="B30" s="109">
        <v>46111</v>
      </c>
      <c r="C30" s="109">
        <v>46111</v>
      </c>
      <c r="D30" s="90" t="s">
        <v>147</v>
      </c>
      <c r="E30" s="90" t="s">
        <v>148</v>
      </c>
      <c r="F30" s="90" t="s">
        <v>149</v>
      </c>
      <c r="G30" s="90"/>
      <c r="H30" s="97" t="s">
        <v>176</v>
      </c>
      <c r="I30" s="90"/>
      <c r="J30" s="137" t="s">
        <v>96</v>
      </c>
      <c r="K30" s="136">
        <v>100</v>
      </c>
      <c r="L30" s="124">
        <f t="shared" si="0"/>
        <v>145320</v>
      </c>
      <c r="M30" s="142" t="s">
        <v>177</v>
      </c>
      <c r="O30" s="115"/>
    </row>
    <row r="31" spans="1:15" x14ac:dyDescent="0.25">
      <c r="A31" s="99">
        <f t="shared" si="1"/>
        <v>25</v>
      </c>
      <c r="B31" s="109">
        <v>46124</v>
      </c>
      <c r="C31" s="109">
        <v>46124</v>
      </c>
      <c r="D31" s="90" t="s">
        <v>150</v>
      </c>
      <c r="E31" s="90" t="s">
        <v>151</v>
      </c>
      <c r="F31" s="90" t="s">
        <v>152</v>
      </c>
      <c r="G31" s="90"/>
      <c r="H31" s="97" t="s">
        <v>176</v>
      </c>
      <c r="I31" s="90"/>
      <c r="J31" s="137" t="s">
        <v>96</v>
      </c>
      <c r="K31" s="136">
        <v>222</v>
      </c>
      <c r="L31" s="124">
        <f t="shared" si="0"/>
        <v>145098</v>
      </c>
      <c r="M31" s="142" t="s">
        <v>177</v>
      </c>
      <c r="O31" s="115"/>
    </row>
    <row r="32" spans="1:15" s="119" customFormat="1" x14ac:dyDescent="0.25">
      <c r="A32" s="99">
        <f t="shared" si="1"/>
        <v>26</v>
      </c>
      <c r="B32" s="116">
        <v>46115</v>
      </c>
      <c r="C32" s="116">
        <v>46115</v>
      </c>
      <c r="D32" s="117" t="s">
        <v>144</v>
      </c>
      <c r="E32" s="117" t="s">
        <v>145</v>
      </c>
      <c r="F32" s="117" t="s">
        <v>146</v>
      </c>
      <c r="G32" s="117"/>
      <c r="H32" s="97" t="s">
        <v>176</v>
      </c>
      <c r="I32" s="117"/>
      <c r="J32" s="137" t="s">
        <v>96</v>
      </c>
      <c r="K32" s="150">
        <v>5677</v>
      </c>
      <c r="L32" s="124">
        <f t="shared" si="0"/>
        <v>139421</v>
      </c>
      <c r="M32" s="142" t="s">
        <v>177</v>
      </c>
      <c r="O32" s="120"/>
    </row>
    <row r="33" spans="1:15" x14ac:dyDescent="0.25">
      <c r="A33" s="99">
        <f t="shared" si="1"/>
        <v>27</v>
      </c>
      <c r="B33" s="109">
        <v>46114</v>
      </c>
      <c r="C33" s="109">
        <v>46114</v>
      </c>
      <c r="D33" s="90" t="s">
        <v>153</v>
      </c>
      <c r="E33" s="90" t="s">
        <v>154</v>
      </c>
      <c r="F33" s="90" t="s">
        <v>155</v>
      </c>
      <c r="G33" s="90"/>
      <c r="H33" s="97" t="s">
        <v>190</v>
      </c>
      <c r="I33" s="90"/>
      <c r="J33" s="137" t="s">
        <v>58</v>
      </c>
      <c r="K33" s="103">
        <v>21501</v>
      </c>
      <c r="L33" s="124">
        <f t="shared" si="0"/>
        <v>117920</v>
      </c>
      <c r="M33" s="142" t="s">
        <v>177</v>
      </c>
      <c r="O33" s="115"/>
    </row>
    <row r="34" spans="1:15" x14ac:dyDescent="0.25">
      <c r="A34" s="99">
        <f t="shared" si="1"/>
        <v>28</v>
      </c>
      <c r="B34" s="109">
        <v>46114</v>
      </c>
      <c r="C34" s="109">
        <v>46114</v>
      </c>
      <c r="D34" s="90" t="s">
        <v>156</v>
      </c>
      <c r="E34" s="90" t="s">
        <v>154</v>
      </c>
      <c r="F34" s="90" t="s">
        <v>157</v>
      </c>
      <c r="G34" s="90"/>
      <c r="H34" s="97" t="s">
        <v>76</v>
      </c>
      <c r="I34" s="90"/>
      <c r="J34" s="137" t="s">
        <v>58</v>
      </c>
      <c r="K34" s="103">
        <v>15640</v>
      </c>
      <c r="L34" s="124">
        <f t="shared" si="0"/>
        <v>102280</v>
      </c>
      <c r="M34" s="142" t="s">
        <v>177</v>
      </c>
      <c r="O34" s="115"/>
    </row>
    <row r="35" spans="1:15" x14ac:dyDescent="0.25">
      <c r="A35" s="99">
        <f t="shared" si="1"/>
        <v>29</v>
      </c>
      <c r="B35" s="109">
        <v>46114</v>
      </c>
      <c r="C35" s="109">
        <v>46114</v>
      </c>
      <c r="D35" s="90" t="s">
        <v>158</v>
      </c>
      <c r="E35" s="90" t="s">
        <v>154</v>
      </c>
      <c r="F35" s="90" t="s">
        <v>159</v>
      </c>
      <c r="G35" s="90"/>
      <c r="H35" s="133" t="s">
        <v>189</v>
      </c>
      <c r="I35" s="90"/>
      <c r="J35" s="137" t="s">
        <v>58</v>
      </c>
      <c r="K35" s="103">
        <v>1600</v>
      </c>
      <c r="L35" s="124">
        <f t="shared" si="0"/>
        <v>100680</v>
      </c>
      <c r="M35" s="142" t="s">
        <v>177</v>
      </c>
      <c r="O35" s="115"/>
    </row>
    <row r="36" spans="1:15" x14ac:dyDescent="0.25">
      <c r="A36" s="99">
        <f t="shared" si="1"/>
        <v>30</v>
      </c>
      <c r="B36" s="109">
        <v>46119</v>
      </c>
      <c r="C36" s="109">
        <v>46114</v>
      </c>
      <c r="D36" s="90" t="s">
        <v>173</v>
      </c>
      <c r="E36" s="90" t="s">
        <v>116</v>
      </c>
      <c r="F36" s="90"/>
      <c r="G36" s="90"/>
      <c r="H36" s="97" t="s">
        <v>176</v>
      </c>
      <c r="I36" s="90"/>
      <c r="J36" s="137" t="s">
        <v>96</v>
      </c>
      <c r="K36" s="136">
        <v>3600</v>
      </c>
      <c r="L36" s="124">
        <f t="shared" si="0"/>
        <v>97080</v>
      </c>
      <c r="M36" s="142" t="s">
        <v>177</v>
      </c>
      <c r="O36" s="115"/>
    </row>
    <row r="37" spans="1:15" x14ac:dyDescent="0.25">
      <c r="A37" s="99">
        <f t="shared" si="1"/>
        <v>31</v>
      </c>
      <c r="B37" s="109">
        <v>46123</v>
      </c>
      <c r="C37" s="109">
        <v>46114</v>
      </c>
      <c r="D37" s="90" t="s">
        <v>115</v>
      </c>
      <c r="E37" s="90" t="s">
        <v>116</v>
      </c>
      <c r="F37" s="90"/>
      <c r="G37" s="90"/>
      <c r="H37" s="97" t="s">
        <v>176</v>
      </c>
      <c r="I37" s="90"/>
      <c r="J37" s="137" t="s">
        <v>96</v>
      </c>
      <c r="K37" s="136">
        <v>2170</v>
      </c>
      <c r="L37" s="124">
        <f t="shared" si="0"/>
        <v>94910</v>
      </c>
      <c r="M37" s="142" t="s">
        <v>177</v>
      </c>
      <c r="O37" s="115"/>
    </row>
    <row r="38" spans="1:15" x14ac:dyDescent="0.25">
      <c r="A38" s="99">
        <f t="shared" si="1"/>
        <v>32</v>
      </c>
      <c r="B38" s="109">
        <v>46123</v>
      </c>
      <c r="C38" s="109">
        <v>46114</v>
      </c>
      <c r="D38" s="90" t="s">
        <v>115</v>
      </c>
      <c r="E38" s="90" t="s">
        <v>116</v>
      </c>
      <c r="F38" s="89"/>
      <c r="G38" s="89"/>
      <c r="H38" s="97" t="s">
        <v>176</v>
      </c>
      <c r="I38" s="89"/>
      <c r="J38" s="137" t="s">
        <v>96</v>
      </c>
      <c r="K38" s="136">
        <v>1840</v>
      </c>
      <c r="L38" s="124">
        <f t="shared" si="0"/>
        <v>93070</v>
      </c>
      <c r="M38" s="142" t="s">
        <v>177</v>
      </c>
      <c r="O38" s="115"/>
    </row>
    <row r="39" spans="1:15" x14ac:dyDescent="0.25">
      <c r="A39" s="99">
        <f t="shared" si="1"/>
        <v>33</v>
      </c>
      <c r="B39" s="109">
        <v>46123</v>
      </c>
      <c r="C39" s="109">
        <v>46114</v>
      </c>
      <c r="D39" s="90" t="s">
        <v>115</v>
      </c>
      <c r="E39" s="90" t="s">
        <v>116</v>
      </c>
      <c r="F39" s="90"/>
      <c r="G39" s="90"/>
      <c r="H39" s="97" t="s">
        <v>176</v>
      </c>
      <c r="I39" s="90"/>
      <c r="J39" s="137" t="s">
        <v>96</v>
      </c>
      <c r="K39" s="136">
        <v>5600</v>
      </c>
      <c r="L39" s="124">
        <f t="shared" si="0"/>
        <v>87470</v>
      </c>
      <c r="M39" s="142" t="s">
        <v>177</v>
      </c>
      <c r="O39" s="115"/>
    </row>
    <row r="40" spans="1:15" x14ac:dyDescent="0.25">
      <c r="A40" s="99">
        <f t="shared" si="1"/>
        <v>34</v>
      </c>
      <c r="B40" s="109">
        <v>46124</v>
      </c>
      <c r="C40" s="109">
        <v>46124</v>
      </c>
      <c r="D40" s="90" t="s">
        <v>160</v>
      </c>
      <c r="E40" s="90"/>
      <c r="F40" s="90" t="s">
        <v>161</v>
      </c>
      <c r="G40" s="90"/>
      <c r="H40" s="97" t="s">
        <v>176</v>
      </c>
      <c r="I40" s="90"/>
      <c r="J40" s="137" t="s">
        <v>96</v>
      </c>
      <c r="K40" s="136">
        <v>9677</v>
      </c>
      <c r="L40" s="124">
        <f t="shared" si="0"/>
        <v>77793</v>
      </c>
      <c r="M40" s="142" t="s">
        <v>177</v>
      </c>
      <c r="O40" s="115"/>
    </row>
    <row r="41" spans="1:15" x14ac:dyDescent="0.25">
      <c r="A41" s="99">
        <f t="shared" si="1"/>
        <v>35</v>
      </c>
      <c r="B41" s="109">
        <v>46125</v>
      </c>
      <c r="C41" s="109">
        <v>46125</v>
      </c>
      <c r="D41" s="90" t="s">
        <v>178</v>
      </c>
      <c r="E41" s="90" t="s">
        <v>166</v>
      </c>
      <c r="F41" s="90" t="s">
        <v>162</v>
      </c>
      <c r="G41" s="90"/>
      <c r="H41" s="97" t="s">
        <v>190</v>
      </c>
      <c r="I41" s="90"/>
      <c r="J41" s="137" t="s">
        <v>58</v>
      </c>
      <c r="K41" s="136">
        <v>14160</v>
      </c>
      <c r="L41" s="124">
        <f t="shared" si="0"/>
        <v>63633</v>
      </c>
      <c r="M41" s="142" t="s">
        <v>177</v>
      </c>
      <c r="O41" s="115"/>
    </row>
    <row r="42" spans="1:15" s="162" customFormat="1" x14ac:dyDescent="0.25">
      <c r="A42" s="99">
        <f t="shared" si="1"/>
        <v>36</v>
      </c>
      <c r="B42" s="109">
        <v>46123</v>
      </c>
      <c r="C42" s="109">
        <v>46125</v>
      </c>
      <c r="D42" s="90" t="s">
        <v>163</v>
      </c>
      <c r="E42" s="90"/>
      <c r="F42" s="90" t="s">
        <v>164</v>
      </c>
      <c r="G42" s="90"/>
      <c r="H42" s="97" t="s">
        <v>76</v>
      </c>
      <c r="I42" s="90"/>
      <c r="J42" s="137" t="s">
        <v>58</v>
      </c>
      <c r="K42" s="165">
        <v>12000</v>
      </c>
      <c r="L42" s="124">
        <f t="shared" si="0"/>
        <v>51633</v>
      </c>
      <c r="M42" s="164" t="s">
        <v>177</v>
      </c>
      <c r="O42" s="166"/>
    </row>
    <row r="43" spans="1:15" s="162" customFormat="1" x14ac:dyDescent="0.25">
      <c r="A43" s="99">
        <f t="shared" si="1"/>
        <v>37</v>
      </c>
      <c r="B43" s="109">
        <v>46125</v>
      </c>
      <c r="C43" s="109">
        <v>46125</v>
      </c>
      <c r="D43" s="90" t="s">
        <v>165</v>
      </c>
      <c r="E43" s="90" t="s">
        <v>166</v>
      </c>
      <c r="F43" s="167" t="s">
        <v>167</v>
      </c>
      <c r="G43" s="167"/>
      <c r="H43" s="97" t="s">
        <v>176</v>
      </c>
      <c r="I43" s="167"/>
      <c r="J43" s="137" t="s">
        <v>96</v>
      </c>
      <c r="K43" s="151">
        <v>23948</v>
      </c>
      <c r="L43" s="124">
        <f t="shared" si="0"/>
        <v>27685</v>
      </c>
      <c r="M43" s="164" t="s">
        <v>177</v>
      </c>
      <c r="O43" s="166"/>
    </row>
    <row r="44" spans="1:15" x14ac:dyDescent="0.25">
      <c r="A44" s="99">
        <f t="shared" si="1"/>
        <v>38</v>
      </c>
      <c r="B44" s="109">
        <v>46126</v>
      </c>
      <c r="C44" s="109">
        <v>46126</v>
      </c>
      <c r="D44" s="90" t="s">
        <v>125</v>
      </c>
      <c r="E44" s="90" t="s">
        <v>124</v>
      </c>
      <c r="F44" s="89"/>
      <c r="G44" s="89"/>
      <c r="H44" s="97" t="s">
        <v>176</v>
      </c>
      <c r="I44" s="89"/>
      <c r="J44" s="137" t="s">
        <v>96</v>
      </c>
      <c r="K44" s="136">
        <v>529</v>
      </c>
      <c r="L44" s="124">
        <f t="shared" si="0"/>
        <v>27156</v>
      </c>
      <c r="M44" s="142" t="s">
        <v>177</v>
      </c>
      <c r="O44" s="115"/>
    </row>
    <row r="45" spans="1:15" x14ac:dyDescent="0.25">
      <c r="A45" s="99">
        <f t="shared" si="1"/>
        <v>39</v>
      </c>
      <c r="B45" s="109">
        <v>46126</v>
      </c>
      <c r="C45" s="109">
        <v>46126</v>
      </c>
      <c r="D45" s="90" t="s">
        <v>127</v>
      </c>
      <c r="E45" s="90" t="s">
        <v>126</v>
      </c>
      <c r="F45" s="89"/>
      <c r="G45" s="89"/>
      <c r="H45" s="97" t="s">
        <v>176</v>
      </c>
      <c r="I45" s="89"/>
      <c r="J45" s="137" t="s">
        <v>96</v>
      </c>
      <c r="K45" s="151">
        <v>5324</v>
      </c>
      <c r="L45" s="124">
        <f t="shared" si="0"/>
        <v>21832</v>
      </c>
      <c r="M45" s="142" t="s">
        <v>177</v>
      </c>
      <c r="O45" s="115"/>
    </row>
    <row r="46" spans="1:15" s="130" customFormat="1" x14ac:dyDescent="0.25">
      <c r="A46" s="99">
        <f t="shared" si="1"/>
        <v>40</v>
      </c>
      <c r="B46" s="109">
        <v>46127</v>
      </c>
      <c r="C46" s="109">
        <v>46126</v>
      </c>
      <c r="D46" s="90" t="s">
        <v>129</v>
      </c>
      <c r="E46" s="90" t="s">
        <v>128</v>
      </c>
      <c r="F46" s="89"/>
      <c r="G46" s="89"/>
      <c r="H46" s="97" t="s">
        <v>176</v>
      </c>
      <c r="I46" s="89"/>
      <c r="J46" s="137" t="s">
        <v>96</v>
      </c>
      <c r="K46" s="140">
        <v>2682</v>
      </c>
      <c r="L46" s="124">
        <f t="shared" si="0"/>
        <v>19150</v>
      </c>
      <c r="M46" s="142" t="s">
        <v>177</v>
      </c>
      <c r="O46" s="131"/>
    </row>
    <row r="47" spans="1:15" ht="16.5" x14ac:dyDescent="0.3">
      <c r="A47" s="99">
        <f t="shared" si="1"/>
        <v>41</v>
      </c>
      <c r="B47" s="109">
        <v>46126</v>
      </c>
      <c r="C47" s="109">
        <v>46126</v>
      </c>
      <c r="D47" s="111"/>
      <c r="E47" s="112" t="s">
        <v>132</v>
      </c>
      <c r="F47" s="112" t="s">
        <v>133</v>
      </c>
      <c r="G47" s="112"/>
      <c r="H47" s="97" t="s">
        <v>76</v>
      </c>
      <c r="I47" s="112"/>
      <c r="J47" s="113" t="s">
        <v>58</v>
      </c>
      <c r="K47" s="136">
        <v>5768</v>
      </c>
      <c r="L47" s="124">
        <f t="shared" si="0"/>
        <v>13382</v>
      </c>
      <c r="M47" s="142" t="s">
        <v>177</v>
      </c>
      <c r="O47" s="115"/>
    </row>
    <row r="48" spans="1:15" ht="16.5" x14ac:dyDescent="0.3">
      <c r="A48" s="99">
        <f t="shared" si="1"/>
        <v>42</v>
      </c>
      <c r="B48" s="109">
        <v>46128</v>
      </c>
      <c r="C48" s="109">
        <v>46128</v>
      </c>
      <c r="D48" s="111"/>
      <c r="E48" s="112" t="s">
        <v>134</v>
      </c>
      <c r="F48" s="112" t="s">
        <v>135</v>
      </c>
      <c r="G48" s="112"/>
      <c r="H48" s="97" t="s">
        <v>176</v>
      </c>
      <c r="I48" s="112"/>
      <c r="J48" s="137" t="s">
        <v>96</v>
      </c>
      <c r="K48" s="149">
        <v>14054</v>
      </c>
      <c r="L48" s="124">
        <f t="shared" si="0"/>
        <v>-672</v>
      </c>
      <c r="M48" s="142" t="s">
        <v>172</v>
      </c>
      <c r="O48" s="115"/>
    </row>
    <row r="49" spans="1:20" s="162" customFormat="1" x14ac:dyDescent="0.25">
      <c r="A49" s="99">
        <f t="shared" si="1"/>
        <v>43</v>
      </c>
      <c r="B49" s="109">
        <v>46124</v>
      </c>
      <c r="C49" s="109">
        <v>46137</v>
      </c>
      <c r="D49" s="90" t="s">
        <v>131</v>
      </c>
      <c r="E49" s="168" t="s">
        <v>136</v>
      </c>
      <c r="F49" s="168" t="s">
        <v>137</v>
      </c>
      <c r="G49" s="168"/>
      <c r="H49" s="97" t="s">
        <v>190</v>
      </c>
      <c r="I49" s="168"/>
      <c r="J49" s="137" t="s">
        <v>96</v>
      </c>
      <c r="K49" s="169">
        <v>2800</v>
      </c>
      <c r="L49" s="124">
        <f t="shared" si="0"/>
        <v>-3472</v>
      </c>
      <c r="M49" s="142" t="s">
        <v>177</v>
      </c>
      <c r="O49" s="166"/>
    </row>
    <row r="50" spans="1:20" s="162" customFormat="1" x14ac:dyDescent="0.25">
      <c r="A50" s="99">
        <f t="shared" si="1"/>
        <v>44</v>
      </c>
      <c r="B50" s="109">
        <v>46124</v>
      </c>
      <c r="C50" s="109">
        <v>46137</v>
      </c>
      <c r="D50" s="170"/>
      <c r="E50" s="168" t="s">
        <v>138</v>
      </c>
      <c r="F50" s="168" t="s">
        <v>139</v>
      </c>
      <c r="G50" s="168"/>
      <c r="H50" s="97" t="s">
        <v>190</v>
      </c>
      <c r="I50" s="168"/>
      <c r="J50" s="137" t="s">
        <v>96</v>
      </c>
      <c r="K50" s="169">
        <v>634</v>
      </c>
      <c r="L50" s="124">
        <f t="shared" si="0"/>
        <v>-4106</v>
      </c>
      <c r="M50" s="142" t="s">
        <v>177</v>
      </c>
      <c r="O50" s="166"/>
    </row>
    <row r="51" spans="1:20" s="162" customFormat="1" x14ac:dyDescent="0.25">
      <c r="A51" s="99">
        <f t="shared" si="1"/>
        <v>45</v>
      </c>
      <c r="B51" s="109">
        <v>46125</v>
      </c>
      <c r="C51" s="109">
        <v>46137</v>
      </c>
      <c r="D51" s="170"/>
      <c r="E51" s="168" t="s">
        <v>138</v>
      </c>
      <c r="F51" s="168" t="s">
        <v>140</v>
      </c>
      <c r="G51" s="168"/>
      <c r="H51" s="97" t="s">
        <v>190</v>
      </c>
      <c r="I51" s="168"/>
      <c r="J51" s="137" t="s">
        <v>96</v>
      </c>
      <c r="K51" s="169">
        <v>1405</v>
      </c>
      <c r="L51" s="124">
        <f t="shared" si="0"/>
        <v>-5511</v>
      </c>
      <c r="M51" s="142" t="s">
        <v>177</v>
      </c>
      <c r="O51" s="166"/>
      <c r="P51" s="171"/>
    </row>
    <row r="52" spans="1:20" s="162" customFormat="1" x14ac:dyDescent="0.25">
      <c r="A52" s="99">
        <f t="shared" si="1"/>
        <v>46</v>
      </c>
      <c r="B52" s="109">
        <v>46125</v>
      </c>
      <c r="C52" s="109">
        <v>46137</v>
      </c>
      <c r="D52" s="170"/>
      <c r="E52" s="168" t="s">
        <v>138</v>
      </c>
      <c r="F52" s="168" t="s">
        <v>141</v>
      </c>
      <c r="G52" s="168"/>
      <c r="H52" s="97" t="s">
        <v>190</v>
      </c>
      <c r="I52" s="168"/>
      <c r="J52" s="137" t="s">
        <v>96</v>
      </c>
      <c r="K52" s="169">
        <v>730</v>
      </c>
      <c r="L52" s="124">
        <f t="shared" si="0"/>
        <v>-6241</v>
      </c>
      <c r="M52" s="142" t="s">
        <v>177</v>
      </c>
      <c r="O52" s="166"/>
      <c r="P52" s="171"/>
    </row>
    <row r="53" spans="1:20" ht="16.5" x14ac:dyDescent="0.3">
      <c r="A53" s="99">
        <f t="shared" si="1"/>
        <v>47</v>
      </c>
      <c r="B53" s="109">
        <v>46128</v>
      </c>
      <c r="C53" s="109"/>
      <c r="D53" s="111" t="s">
        <v>142</v>
      </c>
      <c r="E53" s="112" t="s">
        <v>138</v>
      </c>
      <c r="F53" s="112"/>
      <c r="G53" s="112"/>
      <c r="H53" s="97" t="s">
        <v>76</v>
      </c>
      <c r="I53" s="112"/>
      <c r="J53" s="137" t="s">
        <v>96</v>
      </c>
      <c r="K53" s="149">
        <v>611</v>
      </c>
      <c r="L53" s="124">
        <f t="shared" si="0"/>
        <v>-6852</v>
      </c>
      <c r="M53" s="142" t="s">
        <v>172</v>
      </c>
      <c r="O53" s="115"/>
    </row>
    <row r="54" spans="1:20" ht="16.5" x14ac:dyDescent="0.3">
      <c r="A54" s="99">
        <f t="shared" si="1"/>
        <v>48</v>
      </c>
      <c r="B54" s="109">
        <v>46129</v>
      </c>
      <c r="C54" s="109"/>
      <c r="D54" s="111" t="s">
        <v>169</v>
      </c>
      <c r="E54" s="112" t="s">
        <v>168</v>
      </c>
      <c r="F54" s="112"/>
      <c r="G54" s="112"/>
      <c r="H54" s="133" t="s">
        <v>189</v>
      </c>
      <c r="I54" s="112"/>
      <c r="J54" s="137" t="s">
        <v>96</v>
      </c>
      <c r="K54" s="140">
        <f>61*25</f>
        <v>1525</v>
      </c>
      <c r="L54" s="124">
        <f t="shared" si="0"/>
        <v>-8377</v>
      </c>
      <c r="M54" s="142" t="s">
        <v>177</v>
      </c>
      <c r="O54" s="115"/>
    </row>
    <row r="55" spans="1:20" ht="16.5" x14ac:dyDescent="0.3">
      <c r="A55" s="99">
        <f t="shared" si="1"/>
        <v>49</v>
      </c>
      <c r="B55" s="109">
        <v>46129</v>
      </c>
      <c r="C55" s="109"/>
      <c r="D55" s="111" t="s">
        <v>170</v>
      </c>
      <c r="E55" s="112" t="s">
        <v>171</v>
      </c>
      <c r="F55" s="112"/>
      <c r="G55" s="112"/>
      <c r="H55" s="133" t="s">
        <v>189</v>
      </c>
      <c r="I55" s="112"/>
      <c r="J55" s="137" t="s">
        <v>96</v>
      </c>
      <c r="K55" s="140">
        <v>170</v>
      </c>
      <c r="L55" s="124">
        <f t="shared" si="0"/>
        <v>-8547</v>
      </c>
      <c r="M55" s="142" t="s">
        <v>177</v>
      </c>
      <c r="O55" s="115"/>
      <c r="T55">
        <v>51</v>
      </c>
    </row>
    <row r="56" spans="1:20" ht="16.5" x14ac:dyDescent="0.3">
      <c r="A56" s="99">
        <f t="shared" si="1"/>
        <v>50</v>
      </c>
      <c r="B56" s="109">
        <v>46130</v>
      </c>
      <c r="C56" s="109"/>
      <c r="D56" s="111" t="s">
        <v>174</v>
      </c>
      <c r="E56" s="112" t="s">
        <v>175</v>
      </c>
      <c r="F56" s="112"/>
      <c r="G56" s="112"/>
      <c r="H56" s="97" t="s">
        <v>176</v>
      </c>
      <c r="I56" s="112"/>
      <c r="J56" s="137" t="s">
        <v>96</v>
      </c>
      <c r="K56" s="149">
        <v>400</v>
      </c>
      <c r="L56" s="124">
        <f t="shared" si="0"/>
        <v>-8947</v>
      </c>
      <c r="M56" s="142" t="s">
        <v>172</v>
      </c>
      <c r="O56" s="115"/>
    </row>
    <row r="57" spans="1:20" ht="16.5" x14ac:dyDescent="0.3">
      <c r="A57" s="99">
        <f t="shared" si="1"/>
        <v>51</v>
      </c>
      <c r="B57" s="109">
        <v>46130</v>
      </c>
      <c r="C57" s="109"/>
      <c r="D57" s="111" t="s">
        <v>182</v>
      </c>
      <c r="E57" s="112" t="s">
        <v>183</v>
      </c>
      <c r="F57" s="112"/>
      <c r="G57" s="112"/>
      <c r="H57" s="133" t="s">
        <v>189</v>
      </c>
      <c r="I57" s="112"/>
      <c r="J57" s="137" t="s">
        <v>96</v>
      </c>
      <c r="K57" s="140">
        <v>350</v>
      </c>
      <c r="L57" s="124">
        <f t="shared" si="0"/>
        <v>-9297</v>
      </c>
      <c r="M57" s="142" t="s">
        <v>177</v>
      </c>
      <c r="O57" s="115"/>
    </row>
    <row r="58" spans="1:20" x14ac:dyDescent="0.25">
      <c r="A58" s="99">
        <f t="shared" si="1"/>
        <v>52</v>
      </c>
      <c r="B58" s="109">
        <v>46130</v>
      </c>
      <c r="C58" s="109"/>
      <c r="D58" s="90" t="s">
        <v>160</v>
      </c>
      <c r="E58" s="90"/>
      <c r="F58" s="90" t="s">
        <v>161</v>
      </c>
      <c r="G58" s="90"/>
      <c r="H58" s="97" t="s">
        <v>176</v>
      </c>
      <c r="I58" s="90"/>
      <c r="J58" s="137" t="s">
        <v>96</v>
      </c>
      <c r="K58" s="136">
        <v>3097</v>
      </c>
      <c r="L58" s="124">
        <f t="shared" si="0"/>
        <v>-12394</v>
      </c>
      <c r="M58" s="142" t="s">
        <v>172</v>
      </c>
      <c r="O58" s="115"/>
    </row>
    <row r="59" spans="1:20" x14ac:dyDescent="0.25">
      <c r="A59" s="99"/>
      <c r="B59" s="109"/>
      <c r="C59" s="109"/>
      <c r="D59" s="90"/>
      <c r="E59" s="90"/>
      <c r="F59" s="90"/>
      <c r="G59" s="154"/>
      <c r="H59" s="97" t="s">
        <v>196</v>
      </c>
      <c r="I59" s="90"/>
      <c r="J59" s="137"/>
      <c r="K59" s="141"/>
      <c r="L59" s="124">
        <f t="shared" si="0"/>
        <v>-12394</v>
      </c>
      <c r="M59" s="71"/>
      <c r="O59" s="115"/>
    </row>
    <row r="60" spans="1:20" x14ac:dyDescent="0.25">
      <c r="A60" s="99">
        <f>+A59+1</f>
        <v>1</v>
      </c>
      <c r="B60" s="109">
        <v>46130</v>
      </c>
      <c r="C60" s="148">
        <v>46136</v>
      </c>
      <c r="D60" s="90" t="s">
        <v>115</v>
      </c>
      <c r="E60" s="90" t="s">
        <v>116</v>
      </c>
      <c r="F60" s="90" t="s">
        <v>184</v>
      </c>
      <c r="G60" s="90"/>
      <c r="H60" s="97" t="s">
        <v>176</v>
      </c>
      <c r="I60" s="90"/>
      <c r="J60" s="137" t="s">
        <v>96</v>
      </c>
      <c r="K60" s="161">
        <v>1630</v>
      </c>
      <c r="L60" s="124">
        <f>L59+G60-K60</f>
        <v>-14024</v>
      </c>
      <c r="M60" s="142" t="s">
        <v>172</v>
      </c>
      <c r="O60" s="115"/>
    </row>
    <row r="61" spans="1:20" x14ac:dyDescent="0.25">
      <c r="A61" s="99">
        <f t="shared" si="1"/>
        <v>2</v>
      </c>
      <c r="B61" s="109">
        <v>46130</v>
      </c>
      <c r="C61" s="148">
        <v>46136</v>
      </c>
      <c r="D61" s="90" t="s">
        <v>115</v>
      </c>
      <c r="E61" s="90" t="s">
        <v>116</v>
      </c>
      <c r="F61" s="90"/>
      <c r="G61" s="90"/>
      <c r="H61" s="97" t="s">
        <v>176</v>
      </c>
      <c r="I61" s="90"/>
      <c r="J61" s="137" t="s">
        <v>96</v>
      </c>
      <c r="K61" s="161">
        <v>3090</v>
      </c>
      <c r="L61" s="124">
        <f t="shared" si="0"/>
        <v>-17114</v>
      </c>
      <c r="M61" s="142" t="s">
        <v>172</v>
      </c>
      <c r="O61" s="115"/>
    </row>
    <row r="62" spans="1:20" x14ac:dyDescent="0.25">
      <c r="A62" s="99">
        <f t="shared" si="1"/>
        <v>3</v>
      </c>
      <c r="B62" s="109">
        <v>46132</v>
      </c>
      <c r="C62" s="148">
        <v>46136</v>
      </c>
      <c r="D62" s="90" t="s">
        <v>186</v>
      </c>
      <c r="E62" s="90" t="s">
        <v>185</v>
      </c>
      <c r="F62" s="90"/>
      <c r="G62" s="90"/>
      <c r="H62" s="97" t="s">
        <v>176</v>
      </c>
      <c r="I62" s="90"/>
      <c r="J62" s="137" t="s">
        <v>96</v>
      </c>
      <c r="K62" s="161">
        <v>1756</v>
      </c>
      <c r="L62" s="124">
        <f t="shared" si="0"/>
        <v>-18870</v>
      </c>
      <c r="M62" s="142" t="s">
        <v>172</v>
      </c>
      <c r="O62" s="115"/>
    </row>
    <row r="63" spans="1:20" x14ac:dyDescent="0.25">
      <c r="A63" s="99">
        <f t="shared" si="1"/>
        <v>4</v>
      </c>
      <c r="B63" s="109">
        <v>46133</v>
      </c>
      <c r="C63" s="148">
        <v>46136</v>
      </c>
      <c r="D63" s="90" t="s">
        <v>187</v>
      </c>
      <c r="E63" s="90" t="s">
        <v>188</v>
      </c>
      <c r="F63" s="90"/>
      <c r="G63" s="90"/>
      <c r="H63" s="97" t="s">
        <v>176</v>
      </c>
      <c r="I63" s="90"/>
      <c r="J63" s="137" t="s">
        <v>96</v>
      </c>
      <c r="K63" s="161">
        <v>169</v>
      </c>
      <c r="L63" s="124">
        <f t="shared" si="0"/>
        <v>-19039</v>
      </c>
      <c r="M63" s="142" t="s">
        <v>172</v>
      </c>
      <c r="O63" s="115"/>
    </row>
    <row r="64" spans="1:20" x14ac:dyDescent="0.25">
      <c r="A64" s="99">
        <f t="shared" si="1"/>
        <v>5</v>
      </c>
      <c r="B64" s="109">
        <v>46133</v>
      </c>
      <c r="C64" s="148">
        <v>46136</v>
      </c>
      <c r="D64" s="90" t="s">
        <v>191</v>
      </c>
      <c r="E64" s="90" t="s">
        <v>192</v>
      </c>
      <c r="F64" s="90"/>
      <c r="G64" s="90"/>
      <c r="H64" s="133" t="s">
        <v>189</v>
      </c>
      <c r="I64" s="90"/>
      <c r="J64" s="137" t="s">
        <v>96</v>
      </c>
      <c r="K64" s="140">
        <v>648</v>
      </c>
      <c r="L64" s="124">
        <f t="shared" si="0"/>
        <v>-19687</v>
      </c>
      <c r="M64" s="142" t="s">
        <v>177</v>
      </c>
      <c r="O64" s="115"/>
    </row>
    <row r="65" spans="1:16" x14ac:dyDescent="0.25">
      <c r="A65" s="99">
        <f t="shared" si="1"/>
        <v>6</v>
      </c>
      <c r="B65" s="109">
        <v>46133</v>
      </c>
      <c r="C65" s="109"/>
      <c r="D65" s="90" t="s">
        <v>193</v>
      </c>
      <c r="E65" s="90" t="s">
        <v>194</v>
      </c>
      <c r="F65" s="90"/>
      <c r="G65" s="90"/>
      <c r="H65" s="133" t="s">
        <v>189</v>
      </c>
      <c r="I65" s="90"/>
      <c r="J65" s="137" t="s">
        <v>96</v>
      </c>
      <c r="K65" s="140">
        <v>1640</v>
      </c>
      <c r="L65" s="124">
        <f t="shared" si="0"/>
        <v>-21327</v>
      </c>
      <c r="M65" s="142" t="s">
        <v>177</v>
      </c>
      <c r="O65" s="115"/>
    </row>
    <row r="66" spans="1:16" x14ac:dyDescent="0.25">
      <c r="A66" s="99">
        <f t="shared" si="1"/>
        <v>7</v>
      </c>
      <c r="B66" s="109">
        <v>46133</v>
      </c>
      <c r="C66" s="109"/>
      <c r="D66" s="90" t="s">
        <v>186</v>
      </c>
      <c r="E66" s="90" t="s">
        <v>185</v>
      </c>
      <c r="F66" s="90"/>
      <c r="G66" s="90"/>
      <c r="H66" s="97" t="s">
        <v>76</v>
      </c>
      <c r="I66" s="90"/>
      <c r="J66" s="137" t="s">
        <v>96</v>
      </c>
      <c r="K66" s="140">
        <v>16124</v>
      </c>
      <c r="L66" s="124">
        <f t="shared" si="0"/>
        <v>-37451</v>
      </c>
      <c r="M66" s="142" t="s">
        <v>172</v>
      </c>
      <c r="O66" s="115"/>
    </row>
    <row r="67" spans="1:16" x14ac:dyDescent="0.25">
      <c r="A67" s="99">
        <f t="shared" si="1"/>
        <v>8</v>
      </c>
      <c r="B67" s="109">
        <v>46133</v>
      </c>
      <c r="C67" s="109"/>
      <c r="D67" s="8" t="s">
        <v>195</v>
      </c>
      <c r="E67" s="8" t="s">
        <v>63</v>
      </c>
      <c r="F67" s="90"/>
      <c r="G67" s="90"/>
      <c r="H67" s="133" t="s">
        <v>189</v>
      </c>
      <c r="I67" s="90"/>
      <c r="J67" s="137" t="s">
        <v>96</v>
      </c>
      <c r="K67" s="140">
        <v>80</v>
      </c>
      <c r="L67" s="124">
        <f t="shared" si="0"/>
        <v>-37531</v>
      </c>
      <c r="M67" s="142" t="s">
        <v>177</v>
      </c>
      <c r="O67" s="115"/>
    </row>
    <row r="68" spans="1:16" x14ac:dyDescent="0.25">
      <c r="A68" s="99">
        <f t="shared" si="1"/>
        <v>9</v>
      </c>
      <c r="B68" s="109">
        <v>46134</v>
      </c>
      <c r="C68" s="109"/>
      <c r="D68" s="8"/>
      <c r="E68" s="8"/>
      <c r="F68" s="90"/>
      <c r="G68" s="90"/>
      <c r="H68" s="133"/>
      <c r="I68" s="90"/>
      <c r="J68" s="137"/>
      <c r="K68" s="156"/>
      <c r="L68" s="124">
        <f t="shared" si="0"/>
        <v>-37531</v>
      </c>
      <c r="M68" s="142"/>
      <c r="O68" s="115"/>
      <c r="P68" s="159"/>
    </row>
    <row r="69" spans="1:16" x14ac:dyDescent="0.25">
      <c r="A69" s="99">
        <f>+A68+1</f>
        <v>10</v>
      </c>
      <c r="B69" s="109">
        <v>46134</v>
      </c>
      <c r="C69" s="109"/>
      <c r="D69" s="90"/>
      <c r="E69" s="90"/>
      <c r="F69" s="155">
        <v>46134</v>
      </c>
      <c r="G69" s="126">
        <v>204889</v>
      </c>
      <c r="H69" s="97"/>
      <c r="I69" s="90"/>
      <c r="J69" s="137"/>
      <c r="K69" s="141"/>
      <c r="L69" s="124">
        <f>L68+G69-K69</f>
        <v>167358</v>
      </c>
      <c r="M69" s="71"/>
      <c r="O69" s="115"/>
      <c r="P69" s="159"/>
    </row>
    <row r="70" spans="1:16" x14ac:dyDescent="0.25">
      <c r="A70" s="99">
        <f t="shared" si="1"/>
        <v>11</v>
      </c>
      <c r="B70" s="109">
        <v>46136</v>
      </c>
      <c r="C70" s="148">
        <v>46136</v>
      </c>
      <c r="D70" s="90" t="s">
        <v>115</v>
      </c>
      <c r="E70" s="90" t="s">
        <v>116</v>
      </c>
      <c r="F70" s="90"/>
      <c r="G70" s="90"/>
      <c r="H70" s="97" t="s">
        <v>176</v>
      </c>
      <c r="I70" s="90"/>
      <c r="J70" s="137" t="s">
        <v>96</v>
      </c>
      <c r="K70" s="161">
        <v>680</v>
      </c>
      <c r="L70" s="124">
        <f t="shared" si="0"/>
        <v>166678</v>
      </c>
      <c r="M70" s="142" t="s">
        <v>172</v>
      </c>
      <c r="O70" s="115"/>
    </row>
    <row r="71" spans="1:16" x14ac:dyDescent="0.25">
      <c r="A71" s="99">
        <f t="shared" si="1"/>
        <v>12</v>
      </c>
      <c r="B71" s="109">
        <v>46134</v>
      </c>
      <c r="C71" s="148">
        <v>46136</v>
      </c>
      <c r="D71" s="90" t="s">
        <v>115</v>
      </c>
      <c r="E71" s="90" t="s">
        <v>116</v>
      </c>
      <c r="F71" s="90"/>
      <c r="G71" s="90"/>
      <c r="H71" s="97" t="s">
        <v>176</v>
      </c>
      <c r="I71" s="90"/>
      <c r="J71" s="137" t="s">
        <v>96</v>
      </c>
      <c r="K71" s="161">
        <v>398</v>
      </c>
      <c r="L71" s="124">
        <f t="shared" si="0"/>
        <v>166280</v>
      </c>
      <c r="M71" s="142" t="s">
        <v>172</v>
      </c>
      <c r="O71" s="115"/>
    </row>
    <row r="72" spans="1:16" x14ac:dyDescent="0.25">
      <c r="A72" s="99">
        <f t="shared" si="1"/>
        <v>13</v>
      </c>
      <c r="B72" s="109">
        <v>46134</v>
      </c>
      <c r="C72" s="148">
        <v>46136</v>
      </c>
      <c r="D72" s="90" t="s">
        <v>186</v>
      </c>
      <c r="E72" s="90" t="s">
        <v>185</v>
      </c>
      <c r="F72" s="90"/>
      <c r="G72" s="90"/>
      <c r="H72" s="133" t="s">
        <v>76</v>
      </c>
      <c r="I72" s="90"/>
      <c r="J72" s="137" t="s">
        <v>96</v>
      </c>
      <c r="K72" s="161">
        <v>18504</v>
      </c>
      <c r="L72" s="124">
        <f t="shared" si="0"/>
        <v>147776</v>
      </c>
      <c r="M72" s="142" t="s">
        <v>172</v>
      </c>
      <c r="O72" s="115"/>
    </row>
    <row r="73" spans="1:16" x14ac:dyDescent="0.25">
      <c r="A73" s="99">
        <f t="shared" ref="A73:A88" si="2">+A72+1</f>
        <v>14</v>
      </c>
      <c r="B73" s="109">
        <v>46136</v>
      </c>
      <c r="C73" s="109"/>
      <c r="D73" s="90" t="s">
        <v>197</v>
      </c>
      <c r="E73" s="90" t="s">
        <v>198</v>
      </c>
      <c r="F73" s="90"/>
      <c r="G73" s="90"/>
      <c r="H73" s="133" t="s">
        <v>189</v>
      </c>
      <c r="I73" s="90"/>
      <c r="J73" s="137" t="s">
        <v>96</v>
      </c>
      <c r="K73" s="140">
        <v>260</v>
      </c>
      <c r="L73" s="124">
        <f t="shared" si="0"/>
        <v>147516</v>
      </c>
      <c r="M73" s="142" t="s">
        <v>177</v>
      </c>
      <c r="O73" s="115"/>
    </row>
    <row r="74" spans="1:16" x14ac:dyDescent="0.25">
      <c r="A74" s="99">
        <f t="shared" si="2"/>
        <v>15</v>
      </c>
      <c r="B74" s="109">
        <v>46136</v>
      </c>
      <c r="C74" s="109"/>
      <c r="D74" s="90" t="s">
        <v>200</v>
      </c>
      <c r="E74" s="90" t="s">
        <v>201</v>
      </c>
      <c r="F74" s="90"/>
      <c r="G74" s="90"/>
      <c r="H74" s="133" t="s">
        <v>76</v>
      </c>
      <c r="I74" s="90"/>
      <c r="J74" s="137" t="s">
        <v>96</v>
      </c>
      <c r="K74" s="141">
        <v>5768</v>
      </c>
      <c r="L74" s="124">
        <f t="shared" si="0"/>
        <v>141748</v>
      </c>
      <c r="M74" s="142" t="s">
        <v>172</v>
      </c>
      <c r="O74" s="115"/>
      <c r="P74" s="159"/>
    </row>
    <row r="75" spans="1:16" x14ac:dyDescent="0.25">
      <c r="A75" s="99">
        <f t="shared" si="2"/>
        <v>16</v>
      </c>
      <c r="B75" s="109">
        <v>46136</v>
      </c>
      <c r="C75" s="109"/>
      <c r="D75" s="90" t="s">
        <v>202</v>
      </c>
      <c r="E75" s="90" t="s">
        <v>199</v>
      </c>
      <c r="F75" s="90"/>
      <c r="G75" s="90"/>
      <c r="H75" s="133" t="s">
        <v>76</v>
      </c>
      <c r="I75" s="90"/>
      <c r="J75" s="137" t="s">
        <v>96</v>
      </c>
      <c r="K75" s="141">
        <v>7500</v>
      </c>
      <c r="L75" s="124">
        <f t="shared" si="0"/>
        <v>134248</v>
      </c>
      <c r="M75" s="142" t="s">
        <v>172</v>
      </c>
      <c r="O75" s="115"/>
    </row>
    <row r="76" spans="1:16" x14ac:dyDescent="0.25">
      <c r="A76" s="99">
        <f t="shared" si="2"/>
        <v>17</v>
      </c>
      <c r="B76" s="109">
        <v>46136</v>
      </c>
      <c r="C76" s="148">
        <v>46136</v>
      </c>
      <c r="D76" s="90" t="s">
        <v>203</v>
      </c>
      <c r="E76" s="90" t="s">
        <v>199</v>
      </c>
      <c r="F76" s="90"/>
      <c r="G76" s="90"/>
      <c r="H76" s="133" t="s">
        <v>76</v>
      </c>
      <c r="I76" s="90"/>
      <c r="J76" s="137" t="s">
        <v>96</v>
      </c>
      <c r="K76" s="141">
        <v>2500</v>
      </c>
      <c r="L76" s="124">
        <f t="shared" si="0"/>
        <v>131748</v>
      </c>
      <c r="M76" s="142" t="s">
        <v>172</v>
      </c>
      <c r="O76" s="115"/>
    </row>
    <row r="77" spans="1:16" x14ac:dyDescent="0.25">
      <c r="A77" s="99">
        <f t="shared" si="2"/>
        <v>18</v>
      </c>
      <c r="B77" s="109">
        <v>46136</v>
      </c>
      <c r="C77" s="148">
        <v>46137</v>
      </c>
      <c r="D77" s="90" t="s">
        <v>204</v>
      </c>
      <c r="E77" s="90" t="s">
        <v>199</v>
      </c>
      <c r="F77" s="90"/>
      <c r="G77" s="90"/>
      <c r="H77" s="133" t="s">
        <v>190</v>
      </c>
      <c r="I77" s="90"/>
      <c r="J77" s="137" t="s">
        <v>96</v>
      </c>
      <c r="K77" s="160">
        <v>8800</v>
      </c>
      <c r="L77" s="124">
        <f t="shared" si="0"/>
        <v>122948</v>
      </c>
      <c r="M77" s="142" t="s">
        <v>177</v>
      </c>
      <c r="O77" s="115"/>
    </row>
    <row r="78" spans="1:16" x14ac:dyDescent="0.25">
      <c r="A78" s="99">
        <f t="shared" si="2"/>
        <v>19</v>
      </c>
      <c r="B78" s="109">
        <v>46136</v>
      </c>
      <c r="C78" s="148">
        <v>46137</v>
      </c>
      <c r="D78" s="90" t="s">
        <v>204</v>
      </c>
      <c r="E78" s="90" t="s">
        <v>199</v>
      </c>
      <c r="F78" s="90"/>
      <c r="G78" s="90"/>
      <c r="H78" s="133" t="s">
        <v>190</v>
      </c>
      <c r="I78" s="90"/>
      <c r="J78" s="137" t="s">
        <v>96</v>
      </c>
      <c r="K78" s="160">
        <v>9250</v>
      </c>
      <c r="L78" s="124">
        <f t="shared" si="0"/>
        <v>113698</v>
      </c>
      <c r="M78" s="142" t="s">
        <v>177</v>
      </c>
      <c r="O78" s="115"/>
    </row>
    <row r="79" spans="1:16" x14ac:dyDescent="0.25">
      <c r="A79" s="99">
        <f t="shared" si="2"/>
        <v>20</v>
      </c>
      <c r="B79" s="109">
        <v>46136</v>
      </c>
      <c r="C79" s="148">
        <v>46137</v>
      </c>
      <c r="D79" s="90" t="s">
        <v>205</v>
      </c>
      <c r="E79" s="90" t="s">
        <v>206</v>
      </c>
      <c r="F79" s="90"/>
      <c r="G79" s="90"/>
      <c r="H79" s="133" t="s">
        <v>190</v>
      </c>
      <c r="I79" s="90"/>
      <c r="J79" s="137" t="s">
        <v>96</v>
      </c>
      <c r="K79" s="160">
        <v>1300</v>
      </c>
      <c r="L79" s="124">
        <f t="shared" si="0"/>
        <v>112398</v>
      </c>
      <c r="M79" s="142" t="s">
        <v>177</v>
      </c>
      <c r="O79" s="115"/>
    </row>
    <row r="80" spans="1:16" s="162" customFormat="1" x14ac:dyDescent="0.25">
      <c r="A80" s="99">
        <f t="shared" si="2"/>
        <v>21</v>
      </c>
      <c r="B80" s="109">
        <v>46136</v>
      </c>
      <c r="C80" s="109">
        <v>46137</v>
      </c>
      <c r="D80" s="90" t="s">
        <v>207</v>
      </c>
      <c r="E80" s="168"/>
      <c r="F80" s="168"/>
      <c r="G80" s="168"/>
      <c r="H80" s="97" t="s">
        <v>176</v>
      </c>
      <c r="I80" s="168"/>
      <c r="J80" s="137" t="s">
        <v>58</v>
      </c>
      <c r="K80" s="161">
        <v>2800</v>
      </c>
      <c r="L80" s="124">
        <f t="shared" ref="L80" si="3">L79+G80-K80</f>
        <v>109598</v>
      </c>
      <c r="M80" s="142" t="s">
        <v>172</v>
      </c>
      <c r="O80" s="166"/>
    </row>
    <row r="81" spans="1:15" x14ac:dyDescent="0.25">
      <c r="A81" s="99">
        <f t="shared" si="2"/>
        <v>22</v>
      </c>
      <c r="B81" s="109">
        <v>46136</v>
      </c>
      <c r="C81" s="109"/>
      <c r="D81" s="90" t="s">
        <v>115</v>
      </c>
      <c r="E81" s="90" t="s">
        <v>116</v>
      </c>
      <c r="F81" s="90"/>
      <c r="G81" s="90"/>
      <c r="H81" s="97" t="s">
        <v>176</v>
      </c>
      <c r="I81" s="90"/>
      <c r="J81" s="137" t="s">
        <v>96</v>
      </c>
      <c r="K81" s="141">
        <v>4492</v>
      </c>
      <c r="L81" s="124">
        <f t="shared" si="0"/>
        <v>105106</v>
      </c>
      <c r="M81" s="142" t="s">
        <v>172</v>
      </c>
      <c r="O81" s="115"/>
    </row>
    <row r="82" spans="1:15" x14ac:dyDescent="0.25">
      <c r="A82" s="99">
        <f t="shared" si="2"/>
        <v>23</v>
      </c>
      <c r="B82" s="109">
        <v>46136</v>
      </c>
      <c r="C82" s="109"/>
      <c r="D82" s="90" t="s">
        <v>115</v>
      </c>
      <c r="E82" s="90" t="s">
        <v>116</v>
      </c>
      <c r="F82" s="90"/>
      <c r="G82" s="90"/>
      <c r="H82" s="97" t="s">
        <v>176</v>
      </c>
      <c r="I82" s="90"/>
      <c r="J82" s="137" t="s">
        <v>96</v>
      </c>
      <c r="K82" s="141">
        <v>2810</v>
      </c>
      <c r="L82" s="124">
        <f t="shared" si="0"/>
        <v>102296</v>
      </c>
      <c r="M82" s="142" t="s">
        <v>172</v>
      </c>
      <c r="O82" s="115"/>
    </row>
    <row r="83" spans="1:15" x14ac:dyDescent="0.25">
      <c r="A83" s="99">
        <f t="shared" si="2"/>
        <v>24</v>
      </c>
      <c r="B83" s="109">
        <v>46136</v>
      </c>
      <c r="C83" s="109"/>
      <c r="D83" s="90" t="s">
        <v>115</v>
      </c>
      <c r="E83" s="90" t="s">
        <v>116</v>
      </c>
      <c r="F83" s="90"/>
      <c r="G83" s="90"/>
      <c r="H83" s="97" t="s">
        <v>176</v>
      </c>
      <c r="I83" s="90"/>
      <c r="J83" s="137" t="s">
        <v>96</v>
      </c>
      <c r="K83" s="141">
        <v>2138</v>
      </c>
      <c r="L83" s="124">
        <f t="shared" si="0"/>
        <v>100158</v>
      </c>
      <c r="M83" s="142" t="s">
        <v>172</v>
      </c>
      <c r="O83" s="115"/>
    </row>
    <row r="84" spans="1:15" x14ac:dyDescent="0.25">
      <c r="A84" s="99">
        <f t="shared" si="2"/>
        <v>25</v>
      </c>
      <c r="B84" s="109">
        <v>46136</v>
      </c>
      <c r="C84" s="109"/>
      <c r="D84" s="90"/>
      <c r="E84" s="90"/>
      <c r="F84" s="90"/>
      <c r="G84" s="90"/>
      <c r="H84" s="133"/>
      <c r="I84" s="90"/>
      <c r="J84" s="137"/>
      <c r="K84" s="141"/>
      <c r="L84" s="143">
        <f t="shared" si="0"/>
        <v>100158</v>
      </c>
      <c r="M84" s="142"/>
      <c r="O84" s="115"/>
    </row>
    <row r="85" spans="1:15" x14ac:dyDescent="0.25">
      <c r="A85" s="99">
        <f t="shared" si="2"/>
        <v>26</v>
      </c>
      <c r="B85" s="109">
        <v>46136</v>
      </c>
      <c r="C85" s="109"/>
      <c r="D85" s="90"/>
      <c r="E85" s="90"/>
      <c r="F85" s="90"/>
      <c r="G85" s="90"/>
      <c r="H85" s="133"/>
      <c r="I85" s="90"/>
      <c r="J85" s="137"/>
      <c r="K85" s="141"/>
      <c r="L85" s="143">
        <f t="shared" si="0"/>
        <v>100158</v>
      </c>
      <c r="M85" s="142"/>
      <c r="O85" s="115"/>
    </row>
    <row r="86" spans="1:15" x14ac:dyDescent="0.25">
      <c r="A86" s="99">
        <f t="shared" si="2"/>
        <v>27</v>
      </c>
      <c r="B86" s="109">
        <v>46136</v>
      </c>
      <c r="C86" s="109"/>
      <c r="D86" s="90"/>
      <c r="E86" s="90"/>
      <c r="F86" s="90"/>
      <c r="G86" s="90"/>
      <c r="H86" s="133"/>
      <c r="I86" s="90"/>
      <c r="J86" s="137"/>
      <c r="K86" s="141"/>
      <c r="L86" s="143">
        <f t="shared" si="0"/>
        <v>100158</v>
      </c>
      <c r="M86" s="142"/>
      <c r="O86" s="115"/>
    </row>
    <row r="87" spans="1:15" x14ac:dyDescent="0.25">
      <c r="A87" s="99">
        <f t="shared" si="2"/>
        <v>28</v>
      </c>
      <c r="B87" s="109">
        <v>46136</v>
      </c>
      <c r="C87" s="109"/>
      <c r="D87" s="90"/>
      <c r="E87" s="90"/>
      <c r="F87" s="90"/>
      <c r="G87" s="90"/>
      <c r="H87" s="97"/>
      <c r="I87" s="90"/>
      <c r="J87" s="137"/>
      <c r="K87" s="141"/>
      <c r="L87" s="143">
        <f t="shared" si="0"/>
        <v>100158</v>
      </c>
      <c r="M87" s="71"/>
      <c r="O87" s="115"/>
    </row>
    <row r="88" spans="1:15" ht="16.5" thickBot="1" x14ac:dyDescent="0.3">
      <c r="A88" s="99">
        <f t="shared" si="2"/>
        <v>29</v>
      </c>
      <c r="B88" s="109">
        <v>46134</v>
      </c>
      <c r="C88" s="109"/>
      <c r="D88" s="90"/>
      <c r="E88" s="90"/>
      <c r="F88" s="90"/>
      <c r="G88" s="90"/>
      <c r="H88" s="133"/>
      <c r="I88" s="90"/>
      <c r="J88" s="137"/>
      <c r="K88" s="141"/>
      <c r="L88" s="143">
        <f t="shared" si="0"/>
        <v>100158</v>
      </c>
      <c r="M88" s="71"/>
      <c r="O88" s="115"/>
    </row>
    <row r="89" spans="1:15" ht="16.5" thickBot="1" x14ac:dyDescent="0.3">
      <c r="D89" s="92"/>
      <c r="E89" s="94"/>
      <c r="F89" s="92"/>
      <c r="G89" s="118"/>
      <c r="H89" s="98"/>
      <c r="I89" s="232" t="s">
        <v>13</v>
      </c>
      <c r="J89" s="233"/>
      <c r="K89" s="234"/>
      <c r="L89" s="146">
        <f t="shared" si="0"/>
        <v>100158</v>
      </c>
      <c r="O89" s="115"/>
    </row>
    <row r="90" spans="1:15" ht="16.5" thickBot="1" x14ac:dyDescent="0.3">
      <c r="D90" s="92"/>
      <c r="E90" s="94"/>
      <c r="F90" s="92"/>
      <c r="G90" s="91"/>
      <c r="H90" s="98" t="s">
        <v>208</v>
      </c>
      <c r="I90" s="91"/>
      <c r="J90" s="98"/>
      <c r="K90" s="158">
        <f>SUBTOTAL(9,K6:K88)</f>
        <v>312798</v>
      </c>
      <c r="L90" s="157"/>
      <c r="O90" s="115"/>
    </row>
    <row r="91" spans="1:15" ht="16.5" thickBot="1" x14ac:dyDescent="0.3">
      <c r="I91" s="235" t="s">
        <v>180</v>
      </c>
      <c r="J91" s="236"/>
      <c r="K91" s="237"/>
      <c r="L91" s="146">
        <f>SUM(G6:G88)</f>
        <v>412956</v>
      </c>
    </row>
    <row r="92" spans="1:15" ht="16.5" thickBot="1" x14ac:dyDescent="0.3">
      <c r="I92" s="238" t="s">
        <v>179</v>
      </c>
      <c r="J92" s="239"/>
      <c r="K92" s="240"/>
      <c r="L92" s="145">
        <f>SUM(K6:K88)</f>
        <v>312798</v>
      </c>
      <c r="O92" s="115"/>
    </row>
    <row r="93" spans="1:15" ht="16.5" thickBot="1" x14ac:dyDescent="0.3">
      <c r="I93" s="228" t="s">
        <v>181</v>
      </c>
      <c r="J93" s="229"/>
      <c r="K93" s="230"/>
      <c r="L93" s="144">
        <f>L91-L92</f>
        <v>100158</v>
      </c>
      <c r="M93" s="70" t="s">
        <v>184</v>
      </c>
    </row>
    <row r="96" spans="1:15" x14ac:dyDescent="0.25">
      <c r="D96" s="92"/>
      <c r="E96" s="94"/>
      <c r="F96" s="92"/>
      <c r="G96" s="91"/>
      <c r="H96" s="98"/>
      <c r="I96" s="91"/>
      <c r="J96" s="98"/>
      <c r="L96" s="163"/>
      <c r="O96" s="115"/>
    </row>
  </sheetData>
  <autoFilter ref="A5:T96"/>
  <mergeCells count="6">
    <mergeCell ref="I93:K93"/>
    <mergeCell ref="B1:L1"/>
    <mergeCell ref="C3:D3"/>
    <mergeCell ref="I89:K89"/>
    <mergeCell ref="I91:K91"/>
    <mergeCell ref="I92:K92"/>
  </mergeCells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tabSelected="1" workbookViewId="0">
      <selection activeCell="A3" sqref="A3"/>
    </sheetView>
  </sheetViews>
  <sheetFormatPr defaultRowHeight="15.75" x14ac:dyDescent="0.25"/>
  <cols>
    <col min="1" max="1" width="18.140625" customWidth="1"/>
    <col min="2" max="2" width="10.85546875" customWidth="1"/>
    <col min="3" max="3" width="13.85546875" customWidth="1"/>
    <col min="4" max="4" width="8.5703125" customWidth="1"/>
    <col min="5" max="5" width="9.85546875" customWidth="1"/>
    <col min="6" max="7" width="8.5703125" customWidth="1"/>
    <col min="8" max="36" width="5.140625" customWidth="1"/>
    <col min="37" max="82" width="6.28515625" customWidth="1"/>
    <col min="83" max="91" width="7.42578125" customWidth="1"/>
    <col min="92" max="92" width="8.5703125" customWidth="1"/>
    <col min="93" max="93" width="8" customWidth="1"/>
    <col min="94" max="94" width="6.28515625" customWidth="1"/>
  </cols>
  <sheetData>
    <row r="3" spans="1:7" x14ac:dyDescent="0.25">
      <c r="A3" s="241" t="s">
        <v>422</v>
      </c>
      <c r="B3" s="241" t="s">
        <v>421</v>
      </c>
    </row>
    <row r="4" spans="1:7" x14ac:dyDescent="0.25">
      <c r="A4" s="241" t="s">
        <v>418</v>
      </c>
      <c r="B4" t="s">
        <v>184</v>
      </c>
      <c r="C4" t="s">
        <v>143</v>
      </c>
      <c r="D4" t="s">
        <v>177</v>
      </c>
      <c r="E4" t="s">
        <v>172</v>
      </c>
      <c r="F4" t="s">
        <v>419</v>
      </c>
      <c r="G4" t="s">
        <v>420</v>
      </c>
    </row>
    <row r="5" spans="1:7" x14ac:dyDescent="0.25">
      <c r="A5" s="242" t="s">
        <v>76</v>
      </c>
      <c r="B5" s="243"/>
      <c r="C5" s="243"/>
      <c r="D5" s="243">
        <v>84415</v>
      </c>
      <c r="E5" s="243">
        <v>14494</v>
      </c>
      <c r="F5" s="243"/>
      <c r="G5" s="243">
        <v>98909</v>
      </c>
    </row>
    <row r="6" spans="1:7" x14ac:dyDescent="0.25">
      <c r="A6" s="242" t="s">
        <v>189</v>
      </c>
      <c r="B6" s="243"/>
      <c r="C6" s="243"/>
      <c r="D6" s="243">
        <v>13908</v>
      </c>
      <c r="E6" s="243"/>
      <c r="F6" s="243"/>
      <c r="G6" s="243">
        <v>13908</v>
      </c>
    </row>
    <row r="7" spans="1:7" x14ac:dyDescent="0.25">
      <c r="A7" s="242" t="s">
        <v>190</v>
      </c>
      <c r="B7" s="243"/>
      <c r="C7" s="243"/>
      <c r="D7" s="243">
        <v>64680</v>
      </c>
      <c r="E7" s="243">
        <v>6646</v>
      </c>
      <c r="F7" s="243"/>
      <c r="G7" s="243">
        <v>71326</v>
      </c>
    </row>
    <row r="8" spans="1:7" x14ac:dyDescent="0.25">
      <c r="A8" s="242" t="s">
        <v>176</v>
      </c>
      <c r="B8" s="243"/>
      <c r="C8" s="243"/>
      <c r="D8" s="243">
        <v>145174</v>
      </c>
      <c r="E8" s="243">
        <v>30261</v>
      </c>
      <c r="F8" s="243"/>
      <c r="G8" s="243">
        <v>175435</v>
      </c>
    </row>
    <row r="9" spans="1:7" x14ac:dyDescent="0.25">
      <c r="A9" s="242" t="s">
        <v>419</v>
      </c>
      <c r="B9" s="243"/>
      <c r="C9" s="243">
        <v>8067</v>
      </c>
      <c r="D9" s="243"/>
      <c r="E9" s="243"/>
      <c r="F9" s="243">
        <v>367645</v>
      </c>
      <c r="G9" s="243">
        <v>375712</v>
      </c>
    </row>
    <row r="10" spans="1:7" x14ac:dyDescent="0.25">
      <c r="A10" s="242" t="s">
        <v>420</v>
      </c>
      <c r="B10" s="243"/>
      <c r="C10" s="243">
        <v>8067</v>
      </c>
      <c r="D10" s="243">
        <v>308177</v>
      </c>
      <c r="E10" s="243">
        <v>51401</v>
      </c>
      <c r="F10" s="243">
        <v>367645</v>
      </c>
      <c r="G10" s="243">
        <v>735290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3"/>
  <sheetViews>
    <sheetView zoomScale="85" zoomScaleNormal="85" workbookViewId="0">
      <selection sqref="A1:XFD1048576"/>
    </sheetView>
  </sheetViews>
  <sheetFormatPr defaultColWidth="8.85546875" defaultRowHeight="15.75" x14ac:dyDescent="0.25"/>
  <cols>
    <col min="1" max="1" width="5.42578125" style="177" customWidth="1"/>
    <col min="2" max="2" width="12.7109375" style="193" customWidth="1"/>
    <col min="3" max="3" width="12.28515625" style="162" customWidth="1"/>
    <col min="4" max="4" width="30.7109375" style="162" customWidth="1"/>
    <col min="5" max="5" width="29.28515625" style="162" customWidth="1"/>
    <col min="6" max="6" width="41.42578125" style="162" bestFit="1" customWidth="1"/>
    <col min="7" max="7" width="17.42578125" style="162" customWidth="1"/>
    <col min="8" max="8" width="12.42578125" style="162" customWidth="1"/>
    <col min="9" max="9" width="8.7109375" style="177" customWidth="1"/>
    <col min="10" max="10" width="13.7109375" style="172" customWidth="1"/>
    <col min="11" max="11" width="16.28515625" style="204" bestFit="1" customWidth="1"/>
    <col min="12" max="13" width="13.140625" style="178" customWidth="1"/>
    <col min="14" max="14" width="12.140625" style="162" customWidth="1"/>
    <col min="15" max="15" width="10.5703125" style="162" bestFit="1" customWidth="1"/>
    <col min="16" max="16384" width="8.85546875" style="162"/>
  </cols>
  <sheetData>
    <row r="1" spans="1:14" ht="30" x14ac:dyDescent="0.25">
      <c r="A1" s="179" t="s">
        <v>354</v>
      </c>
      <c r="B1" s="180" t="s">
        <v>2</v>
      </c>
      <c r="C1" s="181" t="s">
        <v>3</v>
      </c>
      <c r="D1" s="182" t="s">
        <v>87</v>
      </c>
      <c r="E1" s="182" t="s">
        <v>355</v>
      </c>
      <c r="F1" s="27" t="s">
        <v>15</v>
      </c>
      <c r="G1" s="183" t="s">
        <v>93</v>
      </c>
      <c r="H1" s="181" t="s">
        <v>180</v>
      </c>
      <c r="I1" s="182" t="s">
        <v>209</v>
      </c>
      <c r="J1" s="173" t="s">
        <v>210</v>
      </c>
      <c r="K1" s="184" t="s">
        <v>6</v>
      </c>
      <c r="L1" s="185" t="s">
        <v>211</v>
      </c>
      <c r="M1" s="185" t="s">
        <v>90</v>
      </c>
    </row>
    <row r="2" spans="1:14" x14ac:dyDescent="0.25">
      <c r="A2" s="179" t="s">
        <v>356</v>
      </c>
      <c r="B2" s="186">
        <v>46107</v>
      </c>
      <c r="C2" s="10"/>
      <c r="D2" s="11"/>
      <c r="E2" s="11"/>
      <c r="F2" s="11"/>
      <c r="G2" s="96"/>
      <c r="H2" s="29">
        <v>208067</v>
      </c>
      <c r="I2" s="97"/>
      <c r="J2" s="173">
        <f>-'Mar26'!L47</f>
        <v>8067</v>
      </c>
      <c r="K2" s="176">
        <f>+H2+I2-J2</f>
        <v>200000</v>
      </c>
      <c r="L2" s="187" t="s">
        <v>259</v>
      </c>
      <c r="M2" s="187" t="s">
        <v>143</v>
      </c>
      <c r="N2" s="188"/>
    </row>
    <row r="3" spans="1:14" x14ac:dyDescent="0.25">
      <c r="A3" s="99" t="s">
        <v>357</v>
      </c>
      <c r="B3" s="109">
        <v>46102</v>
      </c>
      <c r="C3" s="109">
        <v>46102</v>
      </c>
      <c r="D3" s="51" t="s">
        <v>47</v>
      </c>
      <c r="E3" s="51"/>
      <c r="F3" s="210" t="s">
        <v>279</v>
      </c>
      <c r="G3" s="189" t="s">
        <v>189</v>
      </c>
      <c r="H3" s="29"/>
      <c r="I3" s="137"/>
      <c r="J3" s="173">
        <v>850</v>
      </c>
      <c r="K3" s="143">
        <f>+K2+H3+I3-J3</f>
        <v>199150</v>
      </c>
      <c r="L3" s="137" t="s">
        <v>96</v>
      </c>
      <c r="M3" s="164" t="s">
        <v>177</v>
      </c>
      <c r="N3" s="166"/>
    </row>
    <row r="4" spans="1:14" x14ac:dyDescent="0.25">
      <c r="A4" s="99" t="s">
        <v>358</v>
      </c>
      <c r="B4" s="109">
        <v>46102</v>
      </c>
      <c r="C4" s="109">
        <v>46102</v>
      </c>
      <c r="D4" s="51" t="s">
        <v>48</v>
      </c>
      <c r="E4" s="51"/>
      <c r="F4" s="210" t="s">
        <v>280</v>
      </c>
      <c r="G4" s="189" t="s">
        <v>189</v>
      </c>
      <c r="H4" s="29"/>
      <c r="I4" s="137"/>
      <c r="J4" s="173">
        <v>360</v>
      </c>
      <c r="K4" s="143">
        <f t="shared" ref="K4:K68" si="0">+K3+H4+I4-J4</f>
        <v>198790</v>
      </c>
      <c r="L4" s="137" t="s">
        <v>96</v>
      </c>
      <c r="M4" s="164" t="s">
        <v>177</v>
      </c>
      <c r="N4" s="166"/>
    </row>
    <row r="5" spans="1:14" x14ac:dyDescent="0.25">
      <c r="A5" s="99" t="s">
        <v>359</v>
      </c>
      <c r="B5" s="109">
        <v>46104</v>
      </c>
      <c r="C5" s="109">
        <v>46102</v>
      </c>
      <c r="D5" s="51" t="s">
        <v>99</v>
      </c>
      <c r="E5" s="51"/>
      <c r="F5" s="210" t="s">
        <v>281</v>
      </c>
      <c r="G5" s="189" t="s">
        <v>189</v>
      </c>
      <c r="H5" s="29"/>
      <c r="I5" s="137"/>
      <c r="J5" s="173">
        <v>170</v>
      </c>
      <c r="K5" s="143">
        <f t="shared" si="0"/>
        <v>198620</v>
      </c>
      <c r="L5" s="137" t="s">
        <v>96</v>
      </c>
      <c r="M5" s="164" t="s">
        <v>177</v>
      </c>
      <c r="N5" s="166"/>
    </row>
    <row r="6" spans="1:14" x14ac:dyDescent="0.25">
      <c r="A6" s="99" t="s">
        <v>360</v>
      </c>
      <c r="B6" s="109">
        <v>46105</v>
      </c>
      <c r="C6" s="109">
        <v>46105</v>
      </c>
      <c r="D6" s="51" t="s">
        <v>39</v>
      </c>
      <c r="E6" s="51" t="s">
        <v>72</v>
      </c>
      <c r="F6" s="210" t="s">
        <v>282</v>
      </c>
      <c r="G6" s="97" t="s">
        <v>176</v>
      </c>
      <c r="H6" s="29"/>
      <c r="I6" s="137"/>
      <c r="J6" s="173">
        <v>565</v>
      </c>
      <c r="K6" s="143">
        <f t="shared" si="0"/>
        <v>198055</v>
      </c>
      <c r="L6" s="137" t="s">
        <v>96</v>
      </c>
      <c r="M6" s="164" t="s">
        <v>177</v>
      </c>
      <c r="N6" s="166"/>
    </row>
    <row r="7" spans="1:14" x14ac:dyDescent="0.25">
      <c r="A7" s="99" t="s">
        <v>361</v>
      </c>
      <c r="B7" s="109">
        <v>46105</v>
      </c>
      <c r="C7" s="109">
        <v>46105</v>
      </c>
      <c r="D7" s="51" t="s">
        <v>39</v>
      </c>
      <c r="E7" s="51" t="s">
        <v>72</v>
      </c>
      <c r="F7" s="210" t="s">
        <v>283</v>
      </c>
      <c r="G7" s="97" t="s">
        <v>176</v>
      </c>
      <c r="H7" s="29"/>
      <c r="I7" s="137"/>
      <c r="J7" s="173">
        <v>642</v>
      </c>
      <c r="K7" s="143">
        <f t="shared" si="0"/>
        <v>197413</v>
      </c>
      <c r="L7" s="137" t="s">
        <v>96</v>
      </c>
      <c r="M7" s="164" t="s">
        <v>177</v>
      </c>
      <c r="N7" s="166"/>
    </row>
    <row r="8" spans="1:14" x14ac:dyDescent="0.25">
      <c r="A8" s="99" t="s">
        <v>362</v>
      </c>
      <c r="B8" s="109">
        <v>46105</v>
      </c>
      <c r="C8" s="109">
        <v>46105</v>
      </c>
      <c r="D8" s="51" t="s">
        <v>39</v>
      </c>
      <c r="E8" s="51" t="s">
        <v>62</v>
      </c>
      <c r="F8" s="210" t="s">
        <v>282</v>
      </c>
      <c r="G8" s="97" t="s">
        <v>176</v>
      </c>
      <c r="H8" s="29"/>
      <c r="I8" s="137"/>
      <c r="J8" s="173">
        <v>4530</v>
      </c>
      <c r="K8" s="143">
        <f t="shared" si="0"/>
        <v>192883</v>
      </c>
      <c r="L8" s="137" t="s">
        <v>96</v>
      </c>
      <c r="M8" s="164" t="s">
        <v>177</v>
      </c>
      <c r="N8" s="166"/>
    </row>
    <row r="9" spans="1:14" x14ac:dyDescent="0.25">
      <c r="A9" s="99" t="s">
        <v>363</v>
      </c>
      <c r="B9" s="109">
        <v>46107</v>
      </c>
      <c r="C9" s="109">
        <v>46107</v>
      </c>
      <c r="D9" s="51" t="s">
        <v>88</v>
      </c>
      <c r="E9" s="190" t="s">
        <v>84</v>
      </c>
      <c r="F9" s="210" t="s">
        <v>284</v>
      </c>
      <c r="G9" s="97" t="s">
        <v>190</v>
      </c>
      <c r="H9" s="29"/>
      <c r="I9" s="137"/>
      <c r="J9" s="173">
        <v>3500</v>
      </c>
      <c r="K9" s="143">
        <f t="shared" si="0"/>
        <v>189383</v>
      </c>
      <c r="L9" s="137" t="s">
        <v>96</v>
      </c>
      <c r="M9" s="164" t="s">
        <v>177</v>
      </c>
      <c r="N9" s="166"/>
    </row>
    <row r="10" spans="1:14" x14ac:dyDescent="0.25">
      <c r="A10" s="99" t="s">
        <v>364</v>
      </c>
      <c r="B10" s="109">
        <v>46107</v>
      </c>
      <c r="C10" s="109">
        <v>46107</v>
      </c>
      <c r="D10" s="51" t="s">
        <v>89</v>
      </c>
      <c r="E10" s="51" t="s">
        <v>212</v>
      </c>
      <c r="F10" s="210" t="s">
        <v>285</v>
      </c>
      <c r="G10" s="97" t="s">
        <v>190</v>
      </c>
      <c r="H10" s="29"/>
      <c r="I10" s="137"/>
      <c r="J10" s="173">
        <v>600</v>
      </c>
      <c r="K10" s="143">
        <f t="shared" si="0"/>
        <v>188783</v>
      </c>
      <c r="L10" s="137" t="s">
        <v>96</v>
      </c>
      <c r="M10" s="164" t="s">
        <v>177</v>
      </c>
      <c r="N10" s="166"/>
    </row>
    <row r="11" spans="1:14" x14ac:dyDescent="0.25">
      <c r="A11" s="99" t="s">
        <v>365</v>
      </c>
      <c r="B11" s="109">
        <v>46107</v>
      </c>
      <c r="C11" s="109">
        <v>46107</v>
      </c>
      <c r="D11" s="51" t="s">
        <v>101</v>
      </c>
      <c r="E11" s="51"/>
      <c r="F11" s="210" t="s">
        <v>286</v>
      </c>
      <c r="G11" s="189" t="s">
        <v>189</v>
      </c>
      <c r="H11" s="29"/>
      <c r="I11" s="137"/>
      <c r="J11" s="173">
        <v>3300</v>
      </c>
      <c r="K11" s="143">
        <f t="shared" si="0"/>
        <v>185483</v>
      </c>
      <c r="L11" s="137" t="s">
        <v>96</v>
      </c>
      <c r="M11" s="164" t="s">
        <v>177</v>
      </c>
      <c r="N11" s="166"/>
    </row>
    <row r="12" spans="1:14" x14ac:dyDescent="0.25">
      <c r="A12" s="99" t="s">
        <v>366</v>
      </c>
      <c r="B12" s="109">
        <v>46108</v>
      </c>
      <c r="C12" s="109">
        <v>46108</v>
      </c>
      <c r="D12" s="51" t="s">
        <v>95</v>
      </c>
      <c r="E12" s="51" t="s">
        <v>52</v>
      </c>
      <c r="F12" s="210" t="s">
        <v>287</v>
      </c>
      <c r="G12" s="97" t="s">
        <v>176</v>
      </c>
      <c r="H12" s="29"/>
      <c r="I12" s="137"/>
      <c r="J12" s="173">
        <v>7505</v>
      </c>
      <c r="K12" s="143">
        <f t="shared" si="0"/>
        <v>177978</v>
      </c>
      <c r="L12" s="137" t="s">
        <v>96</v>
      </c>
      <c r="M12" s="164" t="s">
        <v>177</v>
      </c>
      <c r="N12" s="166"/>
    </row>
    <row r="13" spans="1:14" x14ac:dyDescent="0.25">
      <c r="A13" s="99" t="s">
        <v>367</v>
      </c>
      <c r="B13" s="109">
        <v>46111</v>
      </c>
      <c r="C13" s="109">
        <v>46108</v>
      </c>
      <c r="D13" s="51" t="s">
        <v>104</v>
      </c>
      <c r="E13" s="93"/>
      <c r="F13" s="210" t="s">
        <v>288</v>
      </c>
      <c r="G13" s="189" t="s">
        <v>189</v>
      </c>
      <c r="H13" s="93"/>
      <c r="I13" s="137"/>
      <c r="J13" s="173">
        <v>130</v>
      </c>
      <c r="K13" s="143">
        <f t="shared" si="0"/>
        <v>177848</v>
      </c>
      <c r="L13" s="137" t="s">
        <v>96</v>
      </c>
      <c r="M13" s="164" t="s">
        <v>177</v>
      </c>
      <c r="N13" s="166"/>
    </row>
    <row r="14" spans="1:14" x14ac:dyDescent="0.25">
      <c r="A14" s="99" t="s">
        <v>368</v>
      </c>
      <c r="B14" s="109">
        <v>46111</v>
      </c>
      <c r="C14" s="109">
        <v>46108</v>
      </c>
      <c r="D14" s="51" t="s">
        <v>110</v>
      </c>
      <c r="E14" s="167"/>
      <c r="F14" s="210" t="s">
        <v>289</v>
      </c>
      <c r="G14" s="189" t="s">
        <v>189</v>
      </c>
      <c r="H14" s="167"/>
      <c r="I14" s="137"/>
      <c r="J14" s="173">
        <v>630</v>
      </c>
      <c r="K14" s="143">
        <f t="shared" si="0"/>
        <v>177218</v>
      </c>
      <c r="L14" s="137" t="s">
        <v>96</v>
      </c>
      <c r="M14" s="164" t="s">
        <v>177</v>
      </c>
      <c r="N14" s="166"/>
    </row>
    <row r="15" spans="1:14" x14ac:dyDescent="0.25">
      <c r="A15" s="99" t="s">
        <v>369</v>
      </c>
      <c r="B15" s="109">
        <v>46112</v>
      </c>
      <c r="C15" s="109">
        <v>46108</v>
      </c>
      <c r="D15" s="51" t="s">
        <v>105</v>
      </c>
      <c r="E15" s="167"/>
      <c r="F15" s="210" t="s">
        <v>290</v>
      </c>
      <c r="G15" s="189" t="s">
        <v>189</v>
      </c>
      <c r="H15" s="167"/>
      <c r="I15" s="137"/>
      <c r="J15" s="173">
        <v>300</v>
      </c>
      <c r="K15" s="143">
        <f t="shared" si="0"/>
        <v>176918</v>
      </c>
      <c r="L15" s="137" t="s">
        <v>96</v>
      </c>
      <c r="M15" s="164" t="s">
        <v>177</v>
      </c>
      <c r="N15" s="166"/>
    </row>
    <row r="16" spans="1:14" s="130" customFormat="1" x14ac:dyDescent="0.25">
      <c r="A16" s="99" t="s">
        <v>370</v>
      </c>
      <c r="B16" s="109">
        <v>46112</v>
      </c>
      <c r="C16" s="109">
        <v>46108</v>
      </c>
      <c r="D16" s="51" t="s">
        <v>106</v>
      </c>
      <c r="E16" s="167"/>
      <c r="F16" s="210" t="s">
        <v>291</v>
      </c>
      <c r="G16" s="97" t="s">
        <v>176</v>
      </c>
      <c r="H16" s="167"/>
      <c r="I16" s="137"/>
      <c r="J16" s="173">
        <v>1200</v>
      </c>
      <c r="K16" s="143">
        <f t="shared" si="0"/>
        <v>175718</v>
      </c>
      <c r="L16" s="137" t="s">
        <v>96</v>
      </c>
      <c r="M16" s="164" t="s">
        <v>177</v>
      </c>
      <c r="N16" s="131"/>
    </row>
    <row r="17" spans="1:14" x14ac:dyDescent="0.25">
      <c r="A17" s="99" t="s">
        <v>371</v>
      </c>
      <c r="B17" s="109">
        <v>46113</v>
      </c>
      <c r="C17" s="109">
        <v>46108</v>
      </c>
      <c r="D17" s="51" t="s">
        <v>104</v>
      </c>
      <c r="E17" s="167"/>
      <c r="F17" s="210" t="s">
        <v>288</v>
      </c>
      <c r="G17" s="189" t="s">
        <v>189</v>
      </c>
      <c r="H17" s="167"/>
      <c r="I17" s="137"/>
      <c r="J17" s="173">
        <v>260</v>
      </c>
      <c r="K17" s="143">
        <f t="shared" si="0"/>
        <v>175458</v>
      </c>
      <c r="L17" s="137" t="s">
        <v>96</v>
      </c>
      <c r="M17" s="164" t="s">
        <v>177</v>
      </c>
      <c r="N17" s="166"/>
    </row>
    <row r="18" spans="1:14" x14ac:dyDescent="0.25">
      <c r="A18" s="99" t="s">
        <v>372</v>
      </c>
      <c r="B18" s="109">
        <v>46113</v>
      </c>
      <c r="C18" s="109">
        <v>46108</v>
      </c>
      <c r="D18" s="90" t="s">
        <v>111</v>
      </c>
      <c r="E18" s="51" t="s">
        <v>52</v>
      </c>
      <c r="F18" s="210" t="s">
        <v>292</v>
      </c>
      <c r="G18" s="97" t="s">
        <v>176</v>
      </c>
      <c r="H18" s="167"/>
      <c r="I18" s="137"/>
      <c r="J18" s="173">
        <f>300+600+500+560+500+2000</f>
        <v>4460</v>
      </c>
      <c r="K18" s="143">
        <f t="shared" si="0"/>
        <v>170998</v>
      </c>
      <c r="L18" s="137" t="s">
        <v>96</v>
      </c>
      <c r="M18" s="164" t="s">
        <v>177</v>
      </c>
      <c r="N18" s="166"/>
    </row>
    <row r="19" spans="1:14" x14ac:dyDescent="0.25">
      <c r="A19" s="99" t="s">
        <v>373</v>
      </c>
      <c r="B19" s="109">
        <v>46113</v>
      </c>
      <c r="C19" s="109">
        <v>46108</v>
      </c>
      <c r="D19" s="90" t="s">
        <v>107</v>
      </c>
      <c r="E19" s="51" t="s">
        <v>52</v>
      </c>
      <c r="F19" s="210" t="s">
        <v>293</v>
      </c>
      <c r="G19" s="97" t="s">
        <v>176</v>
      </c>
      <c r="H19" s="167"/>
      <c r="I19" s="137"/>
      <c r="J19" s="173">
        <v>10467</v>
      </c>
      <c r="K19" s="143">
        <f t="shared" si="0"/>
        <v>160531</v>
      </c>
      <c r="L19" s="137" t="s">
        <v>96</v>
      </c>
      <c r="M19" s="164" t="s">
        <v>177</v>
      </c>
      <c r="N19" s="166"/>
    </row>
    <row r="20" spans="1:14" x14ac:dyDescent="0.25">
      <c r="A20" s="99" t="s">
        <v>374</v>
      </c>
      <c r="B20" s="109">
        <v>46116</v>
      </c>
      <c r="C20" s="109">
        <v>46108</v>
      </c>
      <c r="D20" s="90" t="s">
        <v>115</v>
      </c>
      <c r="E20" s="90" t="s">
        <v>116</v>
      </c>
      <c r="F20" s="210" t="s">
        <v>282</v>
      </c>
      <c r="G20" s="97" t="s">
        <v>176</v>
      </c>
      <c r="H20" s="90"/>
      <c r="I20" s="137"/>
      <c r="J20" s="173">
        <v>5838</v>
      </c>
      <c r="K20" s="143">
        <f t="shared" si="0"/>
        <v>154693</v>
      </c>
      <c r="L20" s="137" t="s">
        <v>96</v>
      </c>
      <c r="M20" s="164" t="s">
        <v>177</v>
      </c>
      <c r="N20" s="166"/>
    </row>
    <row r="21" spans="1:14" x14ac:dyDescent="0.25">
      <c r="A21" s="99" t="s">
        <v>375</v>
      </c>
      <c r="B21" s="109">
        <v>46116</v>
      </c>
      <c r="C21" s="109">
        <v>46108</v>
      </c>
      <c r="D21" s="90" t="s">
        <v>117</v>
      </c>
      <c r="E21" s="90" t="s">
        <v>118</v>
      </c>
      <c r="F21" s="210" t="s">
        <v>294</v>
      </c>
      <c r="G21" s="97" t="s">
        <v>176</v>
      </c>
      <c r="H21" s="90"/>
      <c r="I21" s="137"/>
      <c r="J21" s="173">
        <v>840</v>
      </c>
      <c r="K21" s="143">
        <f t="shared" si="0"/>
        <v>153853</v>
      </c>
      <c r="L21" s="137" t="s">
        <v>96</v>
      </c>
      <c r="M21" s="164" t="s">
        <v>177</v>
      </c>
      <c r="N21" s="166"/>
    </row>
    <row r="22" spans="1:14" x14ac:dyDescent="0.25">
      <c r="A22" s="99" t="s">
        <v>376</v>
      </c>
      <c r="B22" s="109">
        <v>46116</v>
      </c>
      <c r="C22" s="109">
        <v>46108</v>
      </c>
      <c r="D22" s="90" t="s">
        <v>119</v>
      </c>
      <c r="E22" s="90" t="s">
        <v>120</v>
      </c>
      <c r="F22" s="210" t="s">
        <v>295</v>
      </c>
      <c r="G22" s="97" t="s">
        <v>176</v>
      </c>
      <c r="H22" s="90"/>
      <c r="I22" s="137"/>
      <c r="J22" s="173">
        <v>293</v>
      </c>
      <c r="K22" s="143">
        <f t="shared" si="0"/>
        <v>153560</v>
      </c>
      <c r="L22" s="137" t="s">
        <v>96</v>
      </c>
      <c r="M22" s="164" t="s">
        <v>177</v>
      </c>
      <c r="N22" s="166"/>
    </row>
    <row r="23" spans="1:14" x14ac:dyDescent="0.25">
      <c r="A23" s="99" t="s">
        <v>377</v>
      </c>
      <c r="B23" s="109">
        <v>46119</v>
      </c>
      <c r="C23" s="109">
        <v>46108</v>
      </c>
      <c r="D23" s="90" t="s">
        <v>121</v>
      </c>
      <c r="E23" s="90"/>
      <c r="F23" s="210" t="s">
        <v>296</v>
      </c>
      <c r="G23" s="189" t="s">
        <v>189</v>
      </c>
      <c r="H23" s="90"/>
      <c r="I23" s="137"/>
      <c r="J23" s="173">
        <v>560</v>
      </c>
      <c r="K23" s="143">
        <f t="shared" si="0"/>
        <v>153000</v>
      </c>
      <c r="L23" s="137" t="s">
        <v>96</v>
      </c>
      <c r="M23" s="164" t="s">
        <v>177</v>
      </c>
      <c r="N23" s="166"/>
    </row>
    <row r="24" spans="1:14" x14ac:dyDescent="0.25">
      <c r="A24" s="99" t="s">
        <v>378</v>
      </c>
      <c r="B24" s="109">
        <v>46119</v>
      </c>
      <c r="C24" s="109">
        <v>46108</v>
      </c>
      <c r="D24" s="90" t="s">
        <v>123</v>
      </c>
      <c r="E24" s="90"/>
      <c r="F24" s="210" t="s">
        <v>297</v>
      </c>
      <c r="G24" s="189" t="s">
        <v>189</v>
      </c>
      <c r="H24" s="90"/>
      <c r="I24" s="137"/>
      <c r="J24" s="173">
        <v>75</v>
      </c>
      <c r="K24" s="143">
        <f t="shared" si="0"/>
        <v>152925</v>
      </c>
      <c r="L24" s="137" t="s">
        <v>96</v>
      </c>
      <c r="M24" s="164" t="s">
        <v>177</v>
      </c>
      <c r="N24" s="166"/>
    </row>
    <row r="25" spans="1:14" s="119" customFormat="1" x14ac:dyDescent="0.25">
      <c r="A25" s="99" t="s">
        <v>379</v>
      </c>
      <c r="B25" s="116">
        <v>46111</v>
      </c>
      <c r="C25" s="116">
        <v>46111</v>
      </c>
      <c r="D25" s="117" t="s">
        <v>144</v>
      </c>
      <c r="E25" s="117" t="s">
        <v>145</v>
      </c>
      <c r="F25" s="210" t="s">
        <v>298</v>
      </c>
      <c r="G25" s="97" t="s">
        <v>176</v>
      </c>
      <c r="H25" s="117"/>
      <c r="I25" s="137"/>
      <c r="J25" s="173">
        <v>7505</v>
      </c>
      <c r="K25" s="143">
        <f t="shared" si="0"/>
        <v>145420</v>
      </c>
      <c r="L25" s="137" t="s">
        <v>96</v>
      </c>
      <c r="M25" s="164" t="s">
        <v>177</v>
      </c>
      <c r="N25" s="120"/>
    </row>
    <row r="26" spans="1:14" x14ac:dyDescent="0.25">
      <c r="A26" s="99" t="s">
        <v>380</v>
      </c>
      <c r="B26" s="109">
        <v>46111</v>
      </c>
      <c r="C26" s="109">
        <v>46111</v>
      </c>
      <c r="D26" s="90" t="s">
        <v>147</v>
      </c>
      <c r="E26" s="90" t="s">
        <v>148</v>
      </c>
      <c r="F26" s="210" t="s">
        <v>299</v>
      </c>
      <c r="G26" s="97" t="s">
        <v>176</v>
      </c>
      <c r="H26" s="90"/>
      <c r="I26" s="137"/>
      <c r="J26" s="173">
        <v>100</v>
      </c>
      <c r="K26" s="143">
        <f t="shared" si="0"/>
        <v>145320</v>
      </c>
      <c r="L26" s="137" t="s">
        <v>96</v>
      </c>
      <c r="M26" s="164" t="s">
        <v>177</v>
      </c>
      <c r="N26" s="166"/>
    </row>
    <row r="27" spans="1:14" x14ac:dyDescent="0.25">
      <c r="A27" s="99" t="s">
        <v>381</v>
      </c>
      <c r="B27" s="109">
        <v>46124</v>
      </c>
      <c r="C27" s="109">
        <v>46124</v>
      </c>
      <c r="D27" s="90" t="s">
        <v>150</v>
      </c>
      <c r="E27" s="90" t="s">
        <v>151</v>
      </c>
      <c r="F27" s="210" t="s">
        <v>300</v>
      </c>
      <c r="G27" s="97" t="s">
        <v>176</v>
      </c>
      <c r="H27" s="90"/>
      <c r="I27" s="137"/>
      <c r="J27" s="173">
        <v>222</v>
      </c>
      <c r="K27" s="143">
        <f t="shared" si="0"/>
        <v>145098</v>
      </c>
      <c r="L27" s="137" t="s">
        <v>96</v>
      </c>
      <c r="M27" s="164" t="s">
        <v>177</v>
      </c>
      <c r="N27" s="166"/>
    </row>
    <row r="28" spans="1:14" s="119" customFormat="1" x14ac:dyDescent="0.25">
      <c r="A28" s="99" t="s">
        <v>382</v>
      </c>
      <c r="B28" s="116">
        <v>46115</v>
      </c>
      <c r="C28" s="116">
        <v>46115</v>
      </c>
      <c r="D28" s="117" t="s">
        <v>144</v>
      </c>
      <c r="E28" s="117" t="s">
        <v>145</v>
      </c>
      <c r="F28" s="210" t="s">
        <v>298</v>
      </c>
      <c r="G28" s="97" t="s">
        <v>176</v>
      </c>
      <c r="H28" s="117"/>
      <c r="I28" s="137"/>
      <c r="J28" s="173">
        <v>5677</v>
      </c>
      <c r="K28" s="143">
        <f t="shared" si="0"/>
        <v>139421</v>
      </c>
      <c r="L28" s="137" t="s">
        <v>96</v>
      </c>
      <c r="M28" s="164" t="s">
        <v>177</v>
      </c>
      <c r="N28" s="120"/>
    </row>
    <row r="29" spans="1:14" x14ac:dyDescent="0.25">
      <c r="A29" s="99" t="s">
        <v>383</v>
      </c>
      <c r="B29" s="109">
        <v>46114</v>
      </c>
      <c r="C29" s="109">
        <v>46114</v>
      </c>
      <c r="D29" s="90" t="s">
        <v>153</v>
      </c>
      <c r="E29" s="90" t="s">
        <v>154</v>
      </c>
      <c r="F29" s="210" t="s">
        <v>301</v>
      </c>
      <c r="G29" s="97" t="s">
        <v>190</v>
      </c>
      <c r="H29" s="90"/>
      <c r="I29" s="137"/>
      <c r="J29" s="173">
        <v>21501</v>
      </c>
      <c r="K29" s="143">
        <f t="shared" si="0"/>
        <v>117920</v>
      </c>
      <c r="L29" s="137" t="s">
        <v>58</v>
      </c>
      <c r="M29" s="164" t="s">
        <v>177</v>
      </c>
      <c r="N29" s="166"/>
    </row>
    <row r="30" spans="1:14" x14ac:dyDescent="0.25">
      <c r="A30" s="99" t="s">
        <v>384</v>
      </c>
      <c r="B30" s="109">
        <v>46114</v>
      </c>
      <c r="C30" s="109">
        <v>46114</v>
      </c>
      <c r="D30" s="90" t="s">
        <v>156</v>
      </c>
      <c r="E30" s="90" t="s">
        <v>154</v>
      </c>
      <c r="F30" s="210" t="s">
        <v>302</v>
      </c>
      <c r="G30" s="97" t="s">
        <v>76</v>
      </c>
      <c r="H30" s="90"/>
      <c r="I30" s="137"/>
      <c r="J30" s="173">
        <v>15640</v>
      </c>
      <c r="K30" s="143">
        <f t="shared" si="0"/>
        <v>102280</v>
      </c>
      <c r="L30" s="137" t="s">
        <v>58</v>
      </c>
      <c r="M30" s="164" t="s">
        <v>177</v>
      </c>
      <c r="N30" s="166"/>
    </row>
    <row r="31" spans="1:14" x14ac:dyDescent="0.25">
      <c r="A31" s="99" t="s">
        <v>385</v>
      </c>
      <c r="B31" s="109">
        <v>46114</v>
      </c>
      <c r="C31" s="109">
        <v>46114</v>
      </c>
      <c r="D31" s="90" t="s">
        <v>158</v>
      </c>
      <c r="E31" s="90" t="s">
        <v>154</v>
      </c>
      <c r="F31" s="210" t="s">
        <v>303</v>
      </c>
      <c r="G31" s="189" t="s">
        <v>189</v>
      </c>
      <c r="H31" s="90"/>
      <c r="I31" s="137"/>
      <c r="J31" s="173">
        <v>1600</v>
      </c>
      <c r="K31" s="143">
        <f t="shared" si="0"/>
        <v>100680</v>
      </c>
      <c r="L31" s="137" t="s">
        <v>58</v>
      </c>
      <c r="M31" s="164" t="s">
        <v>177</v>
      </c>
      <c r="N31" s="166"/>
    </row>
    <row r="32" spans="1:14" x14ac:dyDescent="0.25">
      <c r="A32" s="99" t="s">
        <v>386</v>
      </c>
      <c r="B32" s="109">
        <v>46119</v>
      </c>
      <c r="C32" s="109">
        <v>46114</v>
      </c>
      <c r="D32" s="90" t="s">
        <v>173</v>
      </c>
      <c r="E32" s="90" t="s">
        <v>116</v>
      </c>
      <c r="F32" s="210" t="s">
        <v>304</v>
      </c>
      <c r="G32" s="97" t="s">
        <v>176</v>
      </c>
      <c r="H32" s="90"/>
      <c r="I32" s="137"/>
      <c r="J32" s="173">
        <v>3600</v>
      </c>
      <c r="K32" s="143">
        <f t="shared" si="0"/>
        <v>97080</v>
      </c>
      <c r="L32" s="137" t="s">
        <v>96</v>
      </c>
      <c r="M32" s="164" t="s">
        <v>177</v>
      </c>
      <c r="N32" s="166"/>
    </row>
    <row r="33" spans="1:15" x14ac:dyDescent="0.25">
      <c r="A33" s="99" t="s">
        <v>387</v>
      </c>
      <c r="B33" s="109">
        <v>46123</v>
      </c>
      <c r="C33" s="109">
        <v>46114</v>
      </c>
      <c r="D33" s="90" t="s">
        <v>115</v>
      </c>
      <c r="E33" s="90" t="s">
        <v>116</v>
      </c>
      <c r="F33" s="210" t="s">
        <v>283</v>
      </c>
      <c r="G33" s="97" t="s">
        <v>176</v>
      </c>
      <c r="H33" s="90"/>
      <c r="I33" s="137"/>
      <c r="J33" s="173">
        <v>2170</v>
      </c>
      <c r="K33" s="143">
        <f t="shared" si="0"/>
        <v>94910</v>
      </c>
      <c r="L33" s="137" t="s">
        <v>96</v>
      </c>
      <c r="M33" s="164" t="s">
        <v>177</v>
      </c>
      <c r="N33" s="166"/>
    </row>
    <row r="34" spans="1:15" x14ac:dyDescent="0.25">
      <c r="A34" s="99" t="s">
        <v>388</v>
      </c>
      <c r="B34" s="109">
        <v>46123</v>
      </c>
      <c r="C34" s="109">
        <v>46114</v>
      </c>
      <c r="D34" s="90" t="s">
        <v>115</v>
      </c>
      <c r="E34" s="90" t="s">
        <v>116</v>
      </c>
      <c r="F34" s="210" t="s">
        <v>305</v>
      </c>
      <c r="G34" s="97" t="s">
        <v>176</v>
      </c>
      <c r="H34" s="167"/>
      <c r="I34" s="137"/>
      <c r="J34" s="173">
        <v>1840</v>
      </c>
      <c r="K34" s="143">
        <f t="shared" si="0"/>
        <v>93070</v>
      </c>
      <c r="L34" s="137" t="s">
        <v>96</v>
      </c>
      <c r="M34" s="164" t="s">
        <v>177</v>
      </c>
      <c r="N34" s="166"/>
    </row>
    <row r="35" spans="1:15" x14ac:dyDescent="0.25">
      <c r="A35" s="99" t="s">
        <v>389</v>
      </c>
      <c r="B35" s="109">
        <v>46123</v>
      </c>
      <c r="C35" s="109">
        <v>46114</v>
      </c>
      <c r="D35" s="90" t="s">
        <v>115</v>
      </c>
      <c r="E35" s="90" t="s">
        <v>116</v>
      </c>
      <c r="F35" s="210" t="s">
        <v>282</v>
      </c>
      <c r="G35" s="97" t="s">
        <v>176</v>
      </c>
      <c r="H35" s="90"/>
      <c r="I35" s="137"/>
      <c r="J35" s="173">
        <v>5600</v>
      </c>
      <c r="K35" s="143">
        <f t="shared" si="0"/>
        <v>87470</v>
      </c>
      <c r="L35" s="137" t="s">
        <v>96</v>
      </c>
      <c r="M35" s="164" t="s">
        <v>177</v>
      </c>
      <c r="N35" s="166"/>
    </row>
    <row r="36" spans="1:15" x14ac:dyDescent="0.25">
      <c r="A36" s="99" t="s">
        <v>390</v>
      </c>
      <c r="B36" s="109">
        <v>46124</v>
      </c>
      <c r="C36" s="109">
        <v>46124</v>
      </c>
      <c r="D36" s="90" t="s">
        <v>160</v>
      </c>
      <c r="E36" s="90"/>
      <c r="F36" s="210" t="s">
        <v>306</v>
      </c>
      <c r="G36" s="97" t="s">
        <v>176</v>
      </c>
      <c r="H36" s="90"/>
      <c r="I36" s="137"/>
      <c r="J36" s="173">
        <v>9677</v>
      </c>
      <c r="K36" s="143">
        <f t="shared" si="0"/>
        <v>77793</v>
      </c>
      <c r="L36" s="137" t="s">
        <v>96</v>
      </c>
      <c r="M36" s="164" t="s">
        <v>177</v>
      </c>
      <c r="N36" s="166"/>
    </row>
    <row r="37" spans="1:15" x14ac:dyDescent="0.25">
      <c r="A37" s="99" t="s">
        <v>391</v>
      </c>
      <c r="B37" s="109">
        <v>46125</v>
      </c>
      <c r="C37" s="109">
        <v>46125</v>
      </c>
      <c r="D37" s="90" t="s">
        <v>178</v>
      </c>
      <c r="E37" s="90" t="s">
        <v>166</v>
      </c>
      <c r="F37" s="210" t="s">
        <v>307</v>
      </c>
      <c r="G37" s="97" t="s">
        <v>190</v>
      </c>
      <c r="H37" s="90"/>
      <c r="I37" s="137"/>
      <c r="J37" s="173">
        <v>14160</v>
      </c>
      <c r="K37" s="143">
        <f t="shared" si="0"/>
        <v>63633</v>
      </c>
      <c r="L37" s="137" t="s">
        <v>58</v>
      </c>
      <c r="M37" s="164" t="s">
        <v>177</v>
      </c>
      <c r="N37" s="166"/>
    </row>
    <row r="38" spans="1:15" x14ac:dyDescent="0.25">
      <c r="A38" s="99" t="s">
        <v>392</v>
      </c>
      <c r="B38" s="109">
        <v>46123</v>
      </c>
      <c r="C38" s="109">
        <v>46125</v>
      </c>
      <c r="D38" s="90" t="s">
        <v>163</v>
      </c>
      <c r="E38" s="90"/>
      <c r="F38" s="210" t="s">
        <v>308</v>
      </c>
      <c r="G38" s="97" t="s">
        <v>76</v>
      </c>
      <c r="H38" s="90"/>
      <c r="I38" s="137"/>
      <c r="J38" s="173">
        <v>12000</v>
      </c>
      <c r="K38" s="143">
        <f t="shared" si="0"/>
        <v>51633</v>
      </c>
      <c r="L38" s="137" t="s">
        <v>58</v>
      </c>
      <c r="M38" s="164" t="s">
        <v>177</v>
      </c>
      <c r="N38" s="166"/>
    </row>
    <row r="39" spans="1:15" x14ac:dyDescent="0.25">
      <c r="A39" s="99" t="s">
        <v>393</v>
      </c>
      <c r="B39" s="109">
        <v>46125</v>
      </c>
      <c r="C39" s="109">
        <v>46125</v>
      </c>
      <c r="D39" s="90" t="s">
        <v>165</v>
      </c>
      <c r="E39" s="90" t="s">
        <v>166</v>
      </c>
      <c r="F39" s="210" t="s">
        <v>309</v>
      </c>
      <c r="G39" s="97" t="s">
        <v>176</v>
      </c>
      <c r="H39" s="167"/>
      <c r="I39" s="137"/>
      <c r="J39" s="173">
        <v>23948</v>
      </c>
      <c r="K39" s="143">
        <f t="shared" si="0"/>
        <v>27685</v>
      </c>
      <c r="L39" s="137" t="s">
        <v>96</v>
      </c>
      <c r="M39" s="164" t="s">
        <v>177</v>
      </c>
      <c r="N39" s="166"/>
    </row>
    <row r="40" spans="1:15" x14ac:dyDescent="0.25">
      <c r="A40" s="99" t="s">
        <v>394</v>
      </c>
      <c r="B40" s="109">
        <v>46126</v>
      </c>
      <c r="C40" s="109">
        <v>46126</v>
      </c>
      <c r="D40" s="90" t="s">
        <v>125</v>
      </c>
      <c r="E40" s="90" t="s">
        <v>124</v>
      </c>
      <c r="F40" s="210" t="s">
        <v>310</v>
      </c>
      <c r="G40" s="97" t="s">
        <v>176</v>
      </c>
      <c r="H40" s="167"/>
      <c r="I40" s="137"/>
      <c r="J40" s="173">
        <v>529</v>
      </c>
      <c r="K40" s="143">
        <f t="shared" si="0"/>
        <v>27156</v>
      </c>
      <c r="L40" s="137" t="s">
        <v>96</v>
      </c>
      <c r="M40" s="164" t="s">
        <v>177</v>
      </c>
      <c r="N40" s="166"/>
    </row>
    <row r="41" spans="1:15" x14ac:dyDescent="0.25">
      <c r="A41" s="99" t="s">
        <v>395</v>
      </c>
      <c r="B41" s="109">
        <v>46126</v>
      </c>
      <c r="C41" s="109">
        <v>46126</v>
      </c>
      <c r="D41" s="90" t="s">
        <v>127</v>
      </c>
      <c r="E41" s="90" t="s">
        <v>126</v>
      </c>
      <c r="F41" s="210" t="s">
        <v>311</v>
      </c>
      <c r="G41" s="97" t="s">
        <v>176</v>
      </c>
      <c r="H41" s="167"/>
      <c r="I41" s="137"/>
      <c r="J41" s="173">
        <v>5324</v>
      </c>
      <c r="K41" s="143">
        <f t="shared" si="0"/>
        <v>21832</v>
      </c>
      <c r="L41" s="137" t="s">
        <v>96</v>
      </c>
      <c r="M41" s="164" t="s">
        <v>177</v>
      </c>
      <c r="N41" s="166"/>
    </row>
    <row r="42" spans="1:15" s="130" customFormat="1" x14ac:dyDescent="0.25">
      <c r="A42" s="99" t="s">
        <v>396</v>
      </c>
      <c r="B42" s="109">
        <v>46127</v>
      </c>
      <c r="C42" s="109">
        <v>46126</v>
      </c>
      <c r="D42" s="90" t="s">
        <v>129</v>
      </c>
      <c r="E42" s="90" t="s">
        <v>128</v>
      </c>
      <c r="F42" s="210" t="s">
        <v>312</v>
      </c>
      <c r="G42" s="97" t="s">
        <v>176</v>
      </c>
      <c r="H42" s="167"/>
      <c r="I42" s="137"/>
      <c r="J42" s="173">
        <v>2682</v>
      </c>
      <c r="K42" s="143">
        <f t="shared" si="0"/>
        <v>19150</v>
      </c>
      <c r="L42" s="137" t="s">
        <v>96</v>
      </c>
      <c r="M42" s="164" t="s">
        <v>177</v>
      </c>
      <c r="N42" s="131"/>
    </row>
    <row r="43" spans="1:15" x14ac:dyDescent="0.25">
      <c r="A43" s="99" t="s">
        <v>397</v>
      </c>
      <c r="B43" s="109">
        <v>46126</v>
      </c>
      <c r="C43" s="109">
        <v>46126</v>
      </c>
      <c r="D43" s="170"/>
      <c r="E43" s="168" t="s">
        <v>132</v>
      </c>
      <c r="F43" s="210" t="s">
        <v>313</v>
      </c>
      <c r="G43" s="97" t="s">
        <v>76</v>
      </c>
      <c r="H43" s="168"/>
      <c r="I43" s="191"/>
      <c r="J43" s="173">
        <v>5768</v>
      </c>
      <c r="K43" s="143">
        <f t="shared" si="0"/>
        <v>13382</v>
      </c>
      <c r="L43" s="191" t="s">
        <v>58</v>
      </c>
      <c r="M43" s="164" t="s">
        <v>177</v>
      </c>
      <c r="N43" s="166"/>
    </row>
    <row r="44" spans="1:15" x14ac:dyDescent="0.25">
      <c r="A44" s="99" t="s">
        <v>398</v>
      </c>
      <c r="B44" s="109">
        <v>46128</v>
      </c>
      <c r="C44" s="109">
        <v>46128</v>
      </c>
      <c r="D44" s="170"/>
      <c r="E44" s="168" t="s">
        <v>134</v>
      </c>
      <c r="F44" s="210" t="s">
        <v>260</v>
      </c>
      <c r="G44" s="97" t="s">
        <v>176</v>
      </c>
      <c r="H44" s="168"/>
      <c r="I44" s="137"/>
      <c r="J44" s="173">
        <v>14054</v>
      </c>
      <c r="K44" s="143">
        <f t="shared" si="0"/>
        <v>-672</v>
      </c>
      <c r="L44" s="137" t="s">
        <v>96</v>
      </c>
      <c r="M44" s="164" t="s">
        <v>177</v>
      </c>
      <c r="N44" s="166"/>
    </row>
    <row r="45" spans="1:15" x14ac:dyDescent="0.25">
      <c r="A45" s="99" t="s">
        <v>399</v>
      </c>
      <c r="B45" s="109">
        <v>46124</v>
      </c>
      <c r="C45" s="109">
        <v>46137</v>
      </c>
      <c r="D45" s="90" t="s">
        <v>131</v>
      </c>
      <c r="E45" s="168" t="s">
        <v>136</v>
      </c>
      <c r="F45" s="210" t="s">
        <v>314</v>
      </c>
      <c r="G45" s="97" t="s">
        <v>190</v>
      </c>
      <c r="H45" s="168"/>
      <c r="I45" s="137"/>
      <c r="J45" s="173">
        <v>2800</v>
      </c>
      <c r="K45" s="143">
        <f t="shared" si="0"/>
        <v>-3472</v>
      </c>
      <c r="L45" s="137" t="s">
        <v>96</v>
      </c>
      <c r="M45" s="164" t="s">
        <v>177</v>
      </c>
      <c r="N45" s="166"/>
    </row>
    <row r="46" spans="1:15" x14ac:dyDescent="0.25">
      <c r="A46" s="99" t="s">
        <v>400</v>
      </c>
      <c r="B46" s="109">
        <v>46124</v>
      </c>
      <c r="C46" s="109">
        <v>46137</v>
      </c>
      <c r="D46" s="170"/>
      <c r="E46" s="168" t="s">
        <v>261</v>
      </c>
      <c r="F46" s="210" t="s">
        <v>262</v>
      </c>
      <c r="G46" s="97" t="s">
        <v>190</v>
      </c>
      <c r="H46" s="168"/>
      <c r="I46" s="137"/>
      <c r="J46" s="173">
        <v>634</v>
      </c>
      <c r="K46" s="143">
        <f t="shared" si="0"/>
        <v>-4106</v>
      </c>
      <c r="L46" s="137" t="s">
        <v>96</v>
      </c>
      <c r="M46" s="164" t="s">
        <v>177</v>
      </c>
      <c r="N46" s="166"/>
    </row>
    <row r="47" spans="1:15" x14ac:dyDescent="0.25">
      <c r="A47" s="99" t="s">
        <v>401</v>
      </c>
      <c r="B47" s="109">
        <v>46125</v>
      </c>
      <c r="C47" s="109">
        <v>46137</v>
      </c>
      <c r="D47" s="170"/>
      <c r="E47" s="168" t="s">
        <v>138</v>
      </c>
      <c r="F47" s="210" t="s">
        <v>262</v>
      </c>
      <c r="G47" s="97" t="s">
        <v>190</v>
      </c>
      <c r="H47" s="168"/>
      <c r="I47" s="137"/>
      <c r="J47" s="173">
        <v>1405</v>
      </c>
      <c r="K47" s="143">
        <f t="shared" si="0"/>
        <v>-5511</v>
      </c>
      <c r="L47" s="137" t="s">
        <v>96</v>
      </c>
      <c r="M47" s="164" t="s">
        <v>177</v>
      </c>
      <c r="N47" s="166"/>
      <c r="O47" s="171"/>
    </row>
    <row r="48" spans="1:15" x14ac:dyDescent="0.25">
      <c r="A48" s="99" t="s">
        <v>402</v>
      </c>
      <c r="B48" s="109">
        <v>46125</v>
      </c>
      <c r="C48" s="109">
        <v>46137</v>
      </c>
      <c r="D48" s="170"/>
      <c r="E48" s="168" t="s">
        <v>138</v>
      </c>
      <c r="F48" s="210" t="s">
        <v>315</v>
      </c>
      <c r="G48" s="97" t="s">
        <v>190</v>
      </c>
      <c r="H48" s="168"/>
      <c r="I48" s="137"/>
      <c r="J48" s="173">
        <v>730</v>
      </c>
      <c r="K48" s="143">
        <f>+K47+H48+I48-J48</f>
        <v>-6241</v>
      </c>
      <c r="L48" s="137" t="s">
        <v>96</v>
      </c>
      <c r="M48" s="164" t="s">
        <v>177</v>
      </c>
      <c r="N48" s="166"/>
      <c r="O48" s="171"/>
    </row>
    <row r="49" spans="1:19" x14ac:dyDescent="0.25">
      <c r="A49" s="99" t="s">
        <v>403</v>
      </c>
      <c r="B49" s="109">
        <v>46128</v>
      </c>
      <c r="C49" s="109">
        <v>46128</v>
      </c>
      <c r="D49" s="170" t="s">
        <v>142</v>
      </c>
      <c r="E49" s="168" t="s">
        <v>138</v>
      </c>
      <c r="F49" s="210" t="s">
        <v>316</v>
      </c>
      <c r="G49" s="97" t="s">
        <v>76</v>
      </c>
      <c r="H49" s="168"/>
      <c r="I49" s="137"/>
      <c r="J49" s="173">
        <v>611</v>
      </c>
      <c r="K49" s="143">
        <f>+K48+H49+I49-J49</f>
        <v>-6852</v>
      </c>
      <c r="L49" s="137" t="s">
        <v>96</v>
      </c>
      <c r="M49" s="164" t="s">
        <v>177</v>
      </c>
      <c r="N49" s="166"/>
    </row>
    <row r="50" spans="1:19" x14ac:dyDescent="0.25">
      <c r="A50" s="99" t="s">
        <v>404</v>
      </c>
      <c r="B50" s="109">
        <v>46129</v>
      </c>
      <c r="C50" s="109">
        <v>46129</v>
      </c>
      <c r="D50" s="170" t="s">
        <v>169</v>
      </c>
      <c r="E50" s="168" t="s">
        <v>168</v>
      </c>
      <c r="F50" s="210" t="s">
        <v>317</v>
      </c>
      <c r="G50" s="189" t="s">
        <v>189</v>
      </c>
      <c r="H50" s="168"/>
      <c r="I50" s="137"/>
      <c r="J50" s="173">
        <f>61*25</f>
        <v>1525</v>
      </c>
      <c r="K50" s="143">
        <f t="shared" si="0"/>
        <v>-8377</v>
      </c>
      <c r="L50" s="137" t="s">
        <v>96</v>
      </c>
      <c r="M50" s="164" t="s">
        <v>177</v>
      </c>
      <c r="N50" s="166"/>
    </row>
    <row r="51" spans="1:19" x14ac:dyDescent="0.25">
      <c r="A51" s="99" t="s">
        <v>405</v>
      </c>
      <c r="B51" s="109">
        <v>46129</v>
      </c>
      <c r="C51" s="109">
        <v>46129</v>
      </c>
      <c r="D51" s="170" t="s">
        <v>170</v>
      </c>
      <c r="E51" s="168" t="s">
        <v>171</v>
      </c>
      <c r="F51" s="210" t="s">
        <v>318</v>
      </c>
      <c r="G51" s="189" t="s">
        <v>189</v>
      </c>
      <c r="H51" s="168"/>
      <c r="I51" s="137"/>
      <c r="J51" s="173">
        <v>170</v>
      </c>
      <c r="K51" s="143">
        <f t="shared" si="0"/>
        <v>-8547</v>
      </c>
      <c r="L51" s="137" t="s">
        <v>96</v>
      </c>
      <c r="M51" s="164" t="s">
        <v>177</v>
      </c>
      <c r="N51" s="166"/>
      <c r="S51" s="162">
        <v>51</v>
      </c>
    </row>
    <row r="52" spans="1:19" x14ac:dyDescent="0.25">
      <c r="A52" s="99" t="s">
        <v>406</v>
      </c>
      <c r="B52" s="109">
        <v>46130</v>
      </c>
      <c r="C52" s="109">
        <v>46130</v>
      </c>
      <c r="D52" s="170" t="s">
        <v>174</v>
      </c>
      <c r="E52" s="168" t="s">
        <v>175</v>
      </c>
      <c r="F52" s="210" t="s">
        <v>319</v>
      </c>
      <c r="G52" s="97" t="s">
        <v>176</v>
      </c>
      <c r="H52" s="168"/>
      <c r="I52" s="137"/>
      <c r="J52" s="173">
        <v>400</v>
      </c>
      <c r="K52" s="143">
        <f t="shared" si="0"/>
        <v>-8947</v>
      </c>
      <c r="L52" s="137" t="s">
        <v>96</v>
      </c>
      <c r="M52" s="164" t="s">
        <v>177</v>
      </c>
      <c r="N52" s="166"/>
    </row>
    <row r="53" spans="1:19" x14ac:dyDescent="0.25">
      <c r="A53" s="99" t="s">
        <v>407</v>
      </c>
      <c r="B53" s="109">
        <v>46130</v>
      </c>
      <c r="C53" s="109">
        <v>46130</v>
      </c>
      <c r="D53" s="170" t="s">
        <v>182</v>
      </c>
      <c r="E53" s="168" t="s">
        <v>183</v>
      </c>
      <c r="F53" s="210" t="s">
        <v>320</v>
      </c>
      <c r="G53" s="189" t="s">
        <v>189</v>
      </c>
      <c r="H53" s="168"/>
      <c r="I53" s="137"/>
      <c r="J53" s="173">
        <v>350</v>
      </c>
      <c r="K53" s="143">
        <f t="shared" si="0"/>
        <v>-9297</v>
      </c>
      <c r="L53" s="137" t="s">
        <v>96</v>
      </c>
      <c r="M53" s="164" t="s">
        <v>177</v>
      </c>
      <c r="N53" s="166"/>
    </row>
    <row r="54" spans="1:19" x14ac:dyDescent="0.25">
      <c r="A54" s="99" t="s">
        <v>408</v>
      </c>
      <c r="B54" s="109">
        <v>46130</v>
      </c>
      <c r="C54" s="109">
        <v>46130</v>
      </c>
      <c r="D54" s="90" t="s">
        <v>160</v>
      </c>
      <c r="E54" s="90"/>
      <c r="F54" s="210" t="s">
        <v>321</v>
      </c>
      <c r="G54" s="97" t="s">
        <v>176</v>
      </c>
      <c r="H54" s="90"/>
      <c r="I54" s="137"/>
      <c r="J54" s="173">
        <v>3097</v>
      </c>
      <c r="K54" s="143">
        <f t="shared" si="0"/>
        <v>-12394</v>
      </c>
      <c r="L54" s="137" t="s">
        <v>96</v>
      </c>
      <c r="M54" s="164" t="s">
        <v>177</v>
      </c>
      <c r="N54" s="166"/>
    </row>
    <row r="55" spans="1:19" x14ac:dyDescent="0.25">
      <c r="A55" s="99" t="s">
        <v>346</v>
      </c>
      <c r="B55" s="109"/>
      <c r="C55" s="109"/>
      <c r="D55" s="90"/>
      <c r="E55" s="90"/>
      <c r="F55" s="210"/>
      <c r="G55" s="97"/>
      <c r="H55" s="90"/>
      <c r="I55" s="137"/>
      <c r="J55" s="165"/>
      <c r="K55" s="143">
        <f>+K54+H55+I55-J55</f>
        <v>-12394</v>
      </c>
      <c r="L55" s="137"/>
      <c r="M55" s="164"/>
      <c r="N55" s="166"/>
    </row>
    <row r="56" spans="1:19" x14ac:dyDescent="0.25">
      <c r="A56" s="99">
        <v>1</v>
      </c>
      <c r="B56" s="109">
        <v>46130</v>
      </c>
      <c r="C56" s="109">
        <v>46136</v>
      </c>
      <c r="D56" s="90" t="s">
        <v>115</v>
      </c>
      <c r="E56" s="90" t="s">
        <v>116</v>
      </c>
      <c r="F56" s="210" t="s">
        <v>282</v>
      </c>
      <c r="G56" s="97" t="s">
        <v>176</v>
      </c>
      <c r="H56" s="90"/>
      <c r="I56" s="137"/>
      <c r="J56" s="173">
        <v>1630</v>
      </c>
      <c r="K56" s="143">
        <f>+K55+H56+I56-J56</f>
        <v>-14024</v>
      </c>
      <c r="L56" s="137" t="s">
        <v>96</v>
      </c>
      <c r="M56" s="164" t="s">
        <v>177</v>
      </c>
      <c r="N56" s="166"/>
    </row>
    <row r="57" spans="1:19" x14ac:dyDescent="0.25">
      <c r="A57" s="99">
        <f t="shared" ref="A57:A67" si="1">+A56+1</f>
        <v>2</v>
      </c>
      <c r="B57" s="109">
        <v>46130</v>
      </c>
      <c r="C57" s="109">
        <v>46136</v>
      </c>
      <c r="D57" s="90" t="s">
        <v>115</v>
      </c>
      <c r="E57" s="90" t="s">
        <v>116</v>
      </c>
      <c r="F57" s="210" t="s">
        <v>283</v>
      </c>
      <c r="G57" s="97" t="s">
        <v>176</v>
      </c>
      <c r="H57" s="90"/>
      <c r="I57" s="137"/>
      <c r="J57" s="173">
        <v>3090</v>
      </c>
      <c r="K57" s="143">
        <f t="shared" si="0"/>
        <v>-17114</v>
      </c>
      <c r="L57" s="137" t="s">
        <v>96</v>
      </c>
      <c r="M57" s="164" t="s">
        <v>177</v>
      </c>
      <c r="N57" s="166"/>
    </row>
    <row r="58" spans="1:19" x14ac:dyDescent="0.25">
      <c r="A58" s="99">
        <f t="shared" si="1"/>
        <v>3</v>
      </c>
      <c r="B58" s="109">
        <v>46132</v>
      </c>
      <c r="C58" s="109">
        <v>46136</v>
      </c>
      <c r="D58" s="90" t="s">
        <v>186</v>
      </c>
      <c r="E58" s="90" t="s">
        <v>185</v>
      </c>
      <c r="F58" s="210" t="s">
        <v>322</v>
      </c>
      <c r="G58" s="97" t="s">
        <v>176</v>
      </c>
      <c r="H58" s="90"/>
      <c r="I58" s="137"/>
      <c r="J58" s="173">
        <v>1756</v>
      </c>
      <c r="K58" s="143">
        <f t="shared" si="0"/>
        <v>-18870</v>
      </c>
      <c r="L58" s="137" t="s">
        <v>96</v>
      </c>
      <c r="M58" s="164" t="s">
        <v>177</v>
      </c>
      <c r="N58" s="166"/>
    </row>
    <row r="59" spans="1:19" x14ac:dyDescent="0.25">
      <c r="A59" s="99">
        <f t="shared" si="1"/>
        <v>4</v>
      </c>
      <c r="B59" s="109">
        <v>46133</v>
      </c>
      <c r="C59" s="109">
        <v>46136</v>
      </c>
      <c r="D59" s="90" t="s">
        <v>187</v>
      </c>
      <c r="E59" s="90" t="s">
        <v>188</v>
      </c>
      <c r="F59" s="210" t="s">
        <v>323</v>
      </c>
      <c r="G59" s="97" t="s">
        <v>176</v>
      </c>
      <c r="H59" s="90"/>
      <c r="I59" s="137"/>
      <c r="J59" s="173">
        <v>169</v>
      </c>
      <c r="K59" s="143">
        <f t="shared" si="0"/>
        <v>-19039</v>
      </c>
      <c r="L59" s="137" t="s">
        <v>96</v>
      </c>
      <c r="M59" s="164" t="s">
        <v>177</v>
      </c>
      <c r="N59" s="166"/>
    </row>
    <row r="60" spans="1:19" x14ac:dyDescent="0.25">
      <c r="A60" s="99">
        <f t="shared" si="1"/>
        <v>5</v>
      </c>
      <c r="B60" s="109">
        <v>46133</v>
      </c>
      <c r="C60" s="109">
        <v>46136</v>
      </c>
      <c r="D60" s="90" t="s">
        <v>191</v>
      </c>
      <c r="E60" s="90" t="s">
        <v>192</v>
      </c>
      <c r="F60" s="210" t="s">
        <v>324</v>
      </c>
      <c r="G60" s="189" t="s">
        <v>189</v>
      </c>
      <c r="H60" s="90"/>
      <c r="I60" s="137"/>
      <c r="J60" s="173">
        <v>648</v>
      </c>
      <c r="K60" s="143">
        <f t="shared" si="0"/>
        <v>-19687</v>
      </c>
      <c r="L60" s="137" t="s">
        <v>96</v>
      </c>
      <c r="M60" s="164" t="s">
        <v>177</v>
      </c>
      <c r="N60" s="166"/>
    </row>
    <row r="61" spans="1:19" x14ac:dyDescent="0.25">
      <c r="A61" s="99">
        <f t="shared" si="1"/>
        <v>6</v>
      </c>
      <c r="B61" s="109">
        <v>46133</v>
      </c>
      <c r="C61" s="109">
        <v>46136</v>
      </c>
      <c r="D61" s="90" t="s">
        <v>193</v>
      </c>
      <c r="E61" s="90" t="s">
        <v>194</v>
      </c>
      <c r="F61" s="210" t="s">
        <v>325</v>
      </c>
      <c r="G61" s="189" t="s">
        <v>189</v>
      </c>
      <c r="H61" s="90"/>
      <c r="I61" s="137"/>
      <c r="J61" s="173">
        <v>1640</v>
      </c>
      <c r="K61" s="143">
        <f t="shared" si="0"/>
        <v>-21327</v>
      </c>
      <c r="L61" s="137" t="s">
        <v>96</v>
      </c>
      <c r="M61" s="164" t="s">
        <v>177</v>
      </c>
      <c r="N61" s="166"/>
    </row>
    <row r="62" spans="1:19" x14ac:dyDescent="0.25">
      <c r="A62" s="99">
        <f t="shared" si="1"/>
        <v>7</v>
      </c>
      <c r="B62" s="109">
        <v>46133</v>
      </c>
      <c r="C62" s="109">
        <v>46136</v>
      </c>
      <c r="D62" s="90" t="s">
        <v>186</v>
      </c>
      <c r="E62" s="90" t="s">
        <v>185</v>
      </c>
      <c r="F62" s="210" t="s">
        <v>322</v>
      </c>
      <c r="G62" s="97" t="s">
        <v>76</v>
      </c>
      <c r="H62" s="90"/>
      <c r="I62" s="137"/>
      <c r="J62" s="173">
        <v>16124</v>
      </c>
      <c r="K62" s="143">
        <f t="shared" si="0"/>
        <v>-37451</v>
      </c>
      <c r="L62" s="137" t="s">
        <v>96</v>
      </c>
      <c r="M62" s="164" t="s">
        <v>177</v>
      </c>
      <c r="N62" s="166"/>
    </row>
    <row r="63" spans="1:19" x14ac:dyDescent="0.25">
      <c r="A63" s="99">
        <f t="shared" si="1"/>
        <v>8</v>
      </c>
      <c r="B63" s="109">
        <v>46133</v>
      </c>
      <c r="C63" s="109">
        <v>46136</v>
      </c>
      <c r="D63" s="8" t="s">
        <v>195</v>
      </c>
      <c r="E63" s="8" t="s">
        <v>63</v>
      </c>
      <c r="F63" s="210" t="s">
        <v>326</v>
      </c>
      <c r="G63" s="189" t="s">
        <v>189</v>
      </c>
      <c r="H63" s="90"/>
      <c r="I63" s="137"/>
      <c r="J63" s="173">
        <v>80</v>
      </c>
      <c r="K63" s="143">
        <f t="shared" si="0"/>
        <v>-37531</v>
      </c>
      <c r="L63" s="137" t="s">
        <v>96</v>
      </c>
      <c r="M63" s="164" t="s">
        <v>177</v>
      </c>
      <c r="N63" s="166"/>
    </row>
    <row r="64" spans="1:19" x14ac:dyDescent="0.25">
      <c r="A64" s="99">
        <f t="shared" si="1"/>
        <v>9</v>
      </c>
      <c r="B64" s="109">
        <v>46134</v>
      </c>
      <c r="C64" s="109"/>
      <c r="D64" s="90"/>
      <c r="E64" s="90"/>
      <c r="F64" s="210"/>
      <c r="G64" s="97"/>
      <c r="H64" s="192">
        <v>204889</v>
      </c>
      <c r="I64" s="137"/>
      <c r="J64" s="174"/>
      <c r="K64" s="143">
        <f>+K63+H64+I64-J64</f>
        <v>167358</v>
      </c>
      <c r="L64" s="137" t="s">
        <v>96</v>
      </c>
      <c r="M64" s="187"/>
      <c r="N64" s="166"/>
      <c r="O64" s="171"/>
    </row>
    <row r="65" spans="1:15" x14ac:dyDescent="0.25">
      <c r="A65" s="99">
        <f t="shared" si="1"/>
        <v>10</v>
      </c>
      <c r="B65" s="109">
        <v>46136</v>
      </c>
      <c r="C65" s="109">
        <v>46136</v>
      </c>
      <c r="D65" s="90" t="s">
        <v>115</v>
      </c>
      <c r="E65" s="90" t="s">
        <v>116</v>
      </c>
      <c r="F65" s="210" t="s">
        <v>282</v>
      </c>
      <c r="G65" s="97" t="s">
        <v>176</v>
      </c>
      <c r="H65" s="90"/>
      <c r="I65" s="137"/>
      <c r="J65" s="173">
        <v>680</v>
      </c>
      <c r="K65" s="143">
        <f t="shared" si="0"/>
        <v>166678</v>
      </c>
      <c r="L65" s="137" t="s">
        <v>96</v>
      </c>
      <c r="M65" s="164" t="s">
        <v>177</v>
      </c>
      <c r="N65" s="166"/>
    </row>
    <row r="66" spans="1:15" x14ac:dyDescent="0.25">
      <c r="A66" s="99">
        <f t="shared" si="1"/>
        <v>11</v>
      </c>
      <c r="B66" s="109">
        <v>46134</v>
      </c>
      <c r="C66" s="109">
        <v>46136</v>
      </c>
      <c r="D66" s="90" t="s">
        <v>115</v>
      </c>
      <c r="E66" s="90" t="s">
        <v>116</v>
      </c>
      <c r="F66" s="210" t="s">
        <v>283</v>
      </c>
      <c r="G66" s="97" t="s">
        <v>176</v>
      </c>
      <c r="H66" s="90"/>
      <c r="I66" s="137"/>
      <c r="J66" s="173">
        <v>398</v>
      </c>
      <c r="K66" s="143">
        <f t="shared" si="0"/>
        <v>166280</v>
      </c>
      <c r="L66" s="137" t="s">
        <v>96</v>
      </c>
      <c r="M66" s="164" t="s">
        <v>177</v>
      </c>
      <c r="N66" s="166"/>
    </row>
    <row r="67" spans="1:15" x14ac:dyDescent="0.25">
      <c r="A67" s="99">
        <f t="shared" si="1"/>
        <v>12</v>
      </c>
      <c r="B67" s="109">
        <v>46134</v>
      </c>
      <c r="C67" s="109">
        <v>46136</v>
      </c>
      <c r="D67" s="90" t="s">
        <v>186</v>
      </c>
      <c r="E67" s="90" t="s">
        <v>185</v>
      </c>
      <c r="F67" s="210" t="s">
        <v>327</v>
      </c>
      <c r="G67" s="97" t="s">
        <v>76</v>
      </c>
      <c r="H67" s="90"/>
      <c r="I67" s="137"/>
      <c r="J67" s="173">
        <v>18504</v>
      </c>
      <c r="K67" s="143">
        <f t="shared" si="0"/>
        <v>147776</v>
      </c>
      <c r="L67" s="137" t="s">
        <v>96</v>
      </c>
      <c r="M67" s="164" t="s">
        <v>177</v>
      </c>
      <c r="N67" s="166"/>
    </row>
    <row r="68" spans="1:15" x14ac:dyDescent="0.25">
      <c r="A68" s="99">
        <f t="shared" ref="A68:A106" si="2">+A67+1</f>
        <v>13</v>
      </c>
      <c r="B68" s="109">
        <v>46136</v>
      </c>
      <c r="C68" s="109">
        <v>46136</v>
      </c>
      <c r="D68" s="90" t="s">
        <v>197</v>
      </c>
      <c r="E68" s="90" t="s">
        <v>198</v>
      </c>
      <c r="F68" s="210" t="s">
        <v>328</v>
      </c>
      <c r="G68" s="189" t="s">
        <v>189</v>
      </c>
      <c r="H68" s="90"/>
      <c r="I68" s="137"/>
      <c r="J68" s="173">
        <v>260</v>
      </c>
      <c r="K68" s="143">
        <f t="shared" si="0"/>
        <v>147516</v>
      </c>
      <c r="L68" s="137" t="s">
        <v>96</v>
      </c>
      <c r="M68" s="164" t="s">
        <v>177</v>
      </c>
      <c r="N68" s="166"/>
    </row>
    <row r="69" spans="1:15" x14ac:dyDescent="0.25">
      <c r="A69" s="99">
        <f t="shared" si="2"/>
        <v>14</v>
      </c>
      <c r="B69" s="109">
        <v>46136</v>
      </c>
      <c r="C69" s="109">
        <v>46136</v>
      </c>
      <c r="D69" s="90" t="s">
        <v>200</v>
      </c>
      <c r="E69" s="90" t="s">
        <v>201</v>
      </c>
      <c r="F69" s="210" t="s">
        <v>329</v>
      </c>
      <c r="G69" s="97" t="s">
        <v>76</v>
      </c>
      <c r="H69" s="90"/>
      <c r="I69" s="137"/>
      <c r="J69" s="173">
        <v>5768</v>
      </c>
      <c r="K69" s="143">
        <f t="shared" ref="K69:K109" si="3">+K68+H69+I69-J69</f>
        <v>141748</v>
      </c>
      <c r="L69" s="137" t="s">
        <v>96</v>
      </c>
      <c r="M69" s="164" t="s">
        <v>177</v>
      </c>
      <c r="N69" s="166"/>
      <c r="O69" s="171"/>
    </row>
    <row r="70" spans="1:15" x14ac:dyDescent="0.25">
      <c r="A70" s="99">
        <f t="shared" si="2"/>
        <v>15</v>
      </c>
      <c r="B70" s="109">
        <v>46136</v>
      </c>
      <c r="C70" s="109">
        <v>46136</v>
      </c>
      <c r="D70" s="90" t="s">
        <v>202</v>
      </c>
      <c r="E70" s="90" t="s">
        <v>199</v>
      </c>
      <c r="F70" s="210" t="s">
        <v>330</v>
      </c>
      <c r="G70" s="97" t="s">
        <v>76</v>
      </c>
      <c r="H70" s="90"/>
      <c r="I70" s="137"/>
      <c r="J70" s="173">
        <v>7500</v>
      </c>
      <c r="K70" s="143">
        <f t="shared" si="3"/>
        <v>134248</v>
      </c>
      <c r="L70" s="137" t="s">
        <v>58</v>
      </c>
      <c r="M70" s="164" t="s">
        <v>177</v>
      </c>
      <c r="N70" s="166"/>
    </row>
    <row r="71" spans="1:15" x14ac:dyDescent="0.25">
      <c r="A71" s="99">
        <f t="shared" si="2"/>
        <v>16</v>
      </c>
      <c r="B71" s="109">
        <v>46136</v>
      </c>
      <c r="C71" s="109">
        <v>46136</v>
      </c>
      <c r="D71" s="90" t="s">
        <v>203</v>
      </c>
      <c r="E71" s="90" t="s">
        <v>199</v>
      </c>
      <c r="F71" s="210" t="s">
        <v>331</v>
      </c>
      <c r="G71" s="97" t="s">
        <v>76</v>
      </c>
      <c r="H71" s="90"/>
      <c r="I71" s="137"/>
      <c r="J71" s="173">
        <v>2500</v>
      </c>
      <c r="K71" s="143">
        <f t="shared" si="3"/>
        <v>131748</v>
      </c>
      <c r="L71" s="137" t="s">
        <v>58</v>
      </c>
      <c r="M71" s="164" t="s">
        <v>177</v>
      </c>
      <c r="N71" s="166"/>
    </row>
    <row r="72" spans="1:15" x14ac:dyDescent="0.25">
      <c r="A72" s="99">
        <f t="shared" si="2"/>
        <v>17</v>
      </c>
      <c r="B72" s="109">
        <v>46136</v>
      </c>
      <c r="C72" s="109">
        <v>46137</v>
      </c>
      <c r="D72" s="90" t="s">
        <v>204</v>
      </c>
      <c r="E72" s="90" t="s">
        <v>199</v>
      </c>
      <c r="F72" s="210" t="s">
        <v>332</v>
      </c>
      <c r="G72" s="97" t="s">
        <v>190</v>
      </c>
      <c r="H72" s="90"/>
      <c r="I72" s="137"/>
      <c r="J72" s="173">
        <v>8800</v>
      </c>
      <c r="K72" s="143">
        <f t="shared" si="3"/>
        <v>122948</v>
      </c>
      <c r="L72" s="137" t="s">
        <v>96</v>
      </c>
      <c r="M72" s="164" t="s">
        <v>177</v>
      </c>
      <c r="N72" s="166"/>
    </row>
    <row r="73" spans="1:15" x14ac:dyDescent="0.25">
      <c r="A73" s="99">
        <f t="shared" si="2"/>
        <v>18</v>
      </c>
      <c r="B73" s="109">
        <v>46136</v>
      </c>
      <c r="C73" s="109">
        <v>46137</v>
      </c>
      <c r="D73" s="90" t="s">
        <v>204</v>
      </c>
      <c r="E73" s="90" t="s">
        <v>199</v>
      </c>
      <c r="F73" s="210" t="s">
        <v>333</v>
      </c>
      <c r="G73" s="97" t="s">
        <v>190</v>
      </c>
      <c r="H73" s="90"/>
      <c r="I73" s="137"/>
      <c r="J73" s="173">
        <v>9250</v>
      </c>
      <c r="K73" s="143">
        <f t="shared" si="3"/>
        <v>113698</v>
      </c>
      <c r="L73" s="137" t="s">
        <v>96</v>
      </c>
      <c r="M73" s="164" t="s">
        <v>177</v>
      </c>
      <c r="N73" s="166"/>
    </row>
    <row r="74" spans="1:15" x14ac:dyDescent="0.25">
      <c r="A74" s="99">
        <f t="shared" si="2"/>
        <v>19</v>
      </c>
      <c r="B74" s="109">
        <v>46136</v>
      </c>
      <c r="C74" s="109">
        <v>46137</v>
      </c>
      <c r="D74" s="90" t="s">
        <v>205</v>
      </c>
      <c r="E74" s="90" t="s">
        <v>206</v>
      </c>
      <c r="F74" s="210" t="s">
        <v>334</v>
      </c>
      <c r="G74" s="97" t="s">
        <v>190</v>
      </c>
      <c r="H74" s="90"/>
      <c r="I74" s="137"/>
      <c r="J74" s="173">
        <v>1300</v>
      </c>
      <c r="K74" s="143">
        <f t="shared" si="3"/>
        <v>112398</v>
      </c>
      <c r="L74" s="137" t="s">
        <v>96</v>
      </c>
      <c r="M74" s="164" t="s">
        <v>177</v>
      </c>
      <c r="N74" s="166"/>
    </row>
    <row r="75" spans="1:15" x14ac:dyDescent="0.25">
      <c r="A75" s="99">
        <f t="shared" si="2"/>
        <v>20</v>
      </c>
      <c r="B75" s="109">
        <v>46129</v>
      </c>
      <c r="C75" s="109">
        <v>46137</v>
      </c>
      <c r="D75" s="90" t="s">
        <v>207</v>
      </c>
      <c r="E75" s="210" t="s">
        <v>335</v>
      </c>
      <c r="F75" s="210" t="s">
        <v>335</v>
      </c>
      <c r="G75" s="97" t="s">
        <v>176</v>
      </c>
      <c r="H75" s="168"/>
      <c r="I75" s="137"/>
      <c r="J75" s="173">
        <v>2800</v>
      </c>
      <c r="K75" s="143">
        <f t="shared" si="3"/>
        <v>109598</v>
      </c>
      <c r="L75" s="137" t="s">
        <v>58</v>
      </c>
      <c r="M75" s="164" t="s">
        <v>177</v>
      </c>
      <c r="N75" s="166"/>
    </row>
    <row r="76" spans="1:15" x14ac:dyDescent="0.25">
      <c r="A76" s="99">
        <f t="shared" si="2"/>
        <v>21</v>
      </c>
      <c r="B76" s="109">
        <v>46136</v>
      </c>
      <c r="C76" s="109">
        <v>46139</v>
      </c>
      <c r="D76" s="90" t="s">
        <v>115</v>
      </c>
      <c r="E76" s="90" t="s">
        <v>116</v>
      </c>
      <c r="F76" s="210" t="s">
        <v>283</v>
      </c>
      <c r="G76" s="97" t="s">
        <v>176</v>
      </c>
      <c r="H76" s="90"/>
      <c r="I76" s="137"/>
      <c r="J76" s="173">
        <v>4492</v>
      </c>
      <c r="K76" s="143">
        <f t="shared" si="3"/>
        <v>105106</v>
      </c>
      <c r="L76" s="137" t="s">
        <v>96</v>
      </c>
      <c r="M76" s="164" t="s">
        <v>177</v>
      </c>
      <c r="N76" s="166"/>
    </row>
    <row r="77" spans="1:15" x14ac:dyDescent="0.25">
      <c r="A77" s="99">
        <f t="shared" si="2"/>
        <v>22</v>
      </c>
      <c r="B77" s="109">
        <v>46136</v>
      </c>
      <c r="C77" s="109">
        <v>46139</v>
      </c>
      <c r="D77" s="90" t="s">
        <v>115</v>
      </c>
      <c r="E77" s="90" t="s">
        <v>116</v>
      </c>
      <c r="F77" s="210" t="s">
        <v>282</v>
      </c>
      <c r="G77" s="97" t="s">
        <v>176</v>
      </c>
      <c r="H77" s="90"/>
      <c r="I77" s="137"/>
      <c r="J77" s="173">
        <v>2810</v>
      </c>
      <c r="K77" s="143">
        <f t="shared" si="3"/>
        <v>102296</v>
      </c>
      <c r="L77" s="137" t="s">
        <v>96</v>
      </c>
      <c r="M77" s="164" t="s">
        <v>177</v>
      </c>
      <c r="N77" s="166"/>
    </row>
    <row r="78" spans="1:15" x14ac:dyDescent="0.25">
      <c r="A78" s="99">
        <f t="shared" si="2"/>
        <v>23</v>
      </c>
      <c r="B78" s="109">
        <v>46136</v>
      </c>
      <c r="C78" s="109">
        <v>46139</v>
      </c>
      <c r="D78" s="90" t="s">
        <v>115</v>
      </c>
      <c r="E78" s="90" t="s">
        <v>116</v>
      </c>
      <c r="F78" s="210" t="s">
        <v>283</v>
      </c>
      <c r="G78" s="97" t="s">
        <v>176</v>
      </c>
      <c r="H78" s="90"/>
      <c r="I78" s="137"/>
      <c r="J78" s="173">
        <v>2138</v>
      </c>
      <c r="K78" s="143">
        <f t="shared" si="3"/>
        <v>100158</v>
      </c>
      <c r="L78" s="137" t="s">
        <v>96</v>
      </c>
      <c r="M78" s="164" t="s">
        <v>177</v>
      </c>
      <c r="N78" s="166"/>
    </row>
    <row r="79" spans="1:15" x14ac:dyDescent="0.25">
      <c r="A79" s="99">
        <f t="shared" si="2"/>
        <v>24</v>
      </c>
      <c r="B79" s="109">
        <v>46138</v>
      </c>
      <c r="C79" s="109">
        <v>46139</v>
      </c>
      <c r="D79" s="90" t="s">
        <v>213</v>
      </c>
      <c r="E79" s="90" t="s">
        <v>185</v>
      </c>
      <c r="F79" s="210" t="s">
        <v>336</v>
      </c>
      <c r="G79" s="189" t="s">
        <v>189</v>
      </c>
      <c r="H79" s="90"/>
      <c r="I79" s="137"/>
      <c r="J79" s="173">
        <v>1000</v>
      </c>
      <c r="K79" s="143">
        <f t="shared" si="3"/>
        <v>99158</v>
      </c>
      <c r="L79" s="137" t="s">
        <v>96</v>
      </c>
      <c r="M79" s="164" t="s">
        <v>177</v>
      </c>
      <c r="N79" s="166"/>
    </row>
    <row r="80" spans="1:15" x14ac:dyDescent="0.25">
      <c r="A80" s="99">
        <f t="shared" si="2"/>
        <v>25</v>
      </c>
      <c r="B80" s="109">
        <v>46137</v>
      </c>
      <c r="C80" s="109">
        <v>46139</v>
      </c>
      <c r="D80" s="90" t="s">
        <v>115</v>
      </c>
      <c r="E80" s="90" t="s">
        <v>116</v>
      </c>
      <c r="F80" s="210" t="s">
        <v>283</v>
      </c>
      <c r="G80" s="97" t="s">
        <v>176</v>
      </c>
      <c r="H80" s="90"/>
      <c r="I80" s="137"/>
      <c r="J80" s="173">
        <v>2446</v>
      </c>
      <c r="K80" s="143">
        <f t="shared" si="3"/>
        <v>96712</v>
      </c>
      <c r="L80" s="137" t="s">
        <v>96</v>
      </c>
      <c r="M80" s="164" t="s">
        <v>177</v>
      </c>
      <c r="N80" s="166"/>
    </row>
    <row r="81" spans="1:14" x14ac:dyDescent="0.25">
      <c r="A81" s="99">
        <f t="shared" si="2"/>
        <v>26</v>
      </c>
      <c r="B81" s="109">
        <v>46137</v>
      </c>
      <c r="C81" s="109">
        <v>46139</v>
      </c>
      <c r="D81" s="90" t="s">
        <v>214</v>
      </c>
      <c r="E81" s="90" t="s">
        <v>215</v>
      </c>
      <c r="F81" s="210" t="s">
        <v>337</v>
      </c>
      <c r="G81" s="189" t="s">
        <v>190</v>
      </c>
      <c r="H81" s="90"/>
      <c r="I81" s="137"/>
      <c r="J81" s="173">
        <v>400</v>
      </c>
      <c r="K81" s="143">
        <f t="shared" si="3"/>
        <v>96312</v>
      </c>
      <c r="L81" s="137" t="s">
        <v>96</v>
      </c>
      <c r="M81" s="164" t="s">
        <v>172</v>
      </c>
      <c r="N81" s="166"/>
    </row>
    <row r="82" spans="1:14" x14ac:dyDescent="0.25">
      <c r="A82" s="99">
        <f t="shared" si="2"/>
        <v>27</v>
      </c>
      <c r="B82" s="109">
        <v>46137</v>
      </c>
      <c r="C82" s="109">
        <v>46139</v>
      </c>
      <c r="D82" s="90" t="s">
        <v>219</v>
      </c>
      <c r="E82" s="90" t="s">
        <v>218</v>
      </c>
      <c r="F82" s="210" t="s">
        <v>338</v>
      </c>
      <c r="G82" s="97" t="s">
        <v>190</v>
      </c>
      <c r="H82" s="90"/>
      <c r="I82" s="137"/>
      <c r="J82" s="173">
        <v>381</v>
      </c>
      <c r="K82" s="143">
        <f t="shared" si="3"/>
        <v>95931</v>
      </c>
      <c r="L82" s="137" t="s">
        <v>96</v>
      </c>
      <c r="M82" s="187" t="s">
        <v>172</v>
      </c>
      <c r="N82" s="166"/>
    </row>
    <row r="83" spans="1:14" x14ac:dyDescent="0.25">
      <c r="A83" s="99">
        <f t="shared" si="2"/>
        <v>28</v>
      </c>
      <c r="B83" s="109">
        <v>46137</v>
      </c>
      <c r="C83" s="109">
        <v>46139</v>
      </c>
      <c r="D83" s="90" t="s">
        <v>221</v>
      </c>
      <c r="E83" s="90" t="s">
        <v>220</v>
      </c>
      <c r="F83" s="210" t="s">
        <v>339</v>
      </c>
      <c r="G83" s="97" t="s">
        <v>190</v>
      </c>
      <c r="H83" s="90"/>
      <c r="I83" s="137"/>
      <c r="J83" s="173">
        <v>300</v>
      </c>
      <c r="K83" s="143">
        <f t="shared" si="3"/>
        <v>95631</v>
      </c>
      <c r="L83" s="137" t="s">
        <v>96</v>
      </c>
      <c r="M83" s="187" t="s">
        <v>172</v>
      </c>
      <c r="N83" s="166"/>
    </row>
    <row r="84" spans="1:14" x14ac:dyDescent="0.25">
      <c r="A84" s="99">
        <f t="shared" si="2"/>
        <v>29</v>
      </c>
      <c r="B84" s="109">
        <v>46137</v>
      </c>
      <c r="C84" s="109">
        <v>46139</v>
      </c>
      <c r="D84" s="90" t="s">
        <v>225</v>
      </c>
      <c r="E84" s="90" t="s">
        <v>199</v>
      </c>
      <c r="F84" s="210" t="s">
        <v>340</v>
      </c>
      <c r="G84" s="97" t="s">
        <v>190</v>
      </c>
      <c r="H84" s="90"/>
      <c r="I84" s="137"/>
      <c r="J84" s="173">
        <v>1800</v>
      </c>
      <c r="K84" s="143">
        <f t="shared" si="3"/>
        <v>93831</v>
      </c>
      <c r="L84" s="137" t="s">
        <v>96</v>
      </c>
      <c r="M84" s="187" t="s">
        <v>172</v>
      </c>
      <c r="N84" s="166"/>
    </row>
    <row r="85" spans="1:14" x14ac:dyDescent="0.25">
      <c r="A85" s="99">
        <f t="shared" si="2"/>
        <v>30</v>
      </c>
      <c r="B85" s="109">
        <v>46138</v>
      </c>
      <c r="C85" s="109">
        <v>46139</v>
      </c>
      <c r="D85" s="90" t="s">
        <v>226</v>
      </c>
      <c r="E85" s="90" t="s">
        <v>199</v>
      </c>
      <c r="F85" s="210" t="s">
        <v>341</v>
      </c>
      <c r="G85" s="97" t="s">
        <v>190</v>
      </c>
      <c r="H85" s="90"/>
      <c r="I85" s="137"/>
      <c r="J85" s="173">
        <v>1400</v>
      </c>
      <c r="K85" s="143">
        <f t="shared" si="3"/>
        <v>92431</v>
      </c>
      <c r="L85" s="137" t="s">
        <v>96</v>
      </c>
      <c r="M85" s="187" t="s">
        <v>172</v>
      </c>
      <c r="N85" s="166"/>
    </row>
    <row r="86" spans="1:14" x14ac:dyDescent="0.25">
      <c r="A86" s="99">
        <f t="shared" si="2"/>
        <v>31</v>
      </c>
      <c r="B86" s="109">
        <v>46138</v>
      </c>
      <c r="C86" s="109">
        <v>46139</v>
      </c>
      <c r="D86" s="90" t="s">
        <v>216</v>
      </c>
      <c r="E86" s="90" t="s">
        <v>217</v>
      </c>
      <c r="F86" s="210" t="s">
        <v>342</v>
      </c>
      <c r="G86" s="189" t="s">
        <v>190</v>
      </c>
      <c r="H86" s="90"/>
      <c r="I86" s="137"/>
      <c r="J86" s="173">
        <v>45</v>
      </c>
      <c r="K86" s="143">
        <f t="shared" si="3"/>
        <v>92386</v>
      </c>
      <c r="L86" s="137" t="s">
        <v>96</v>
      </c>
      <c r="M86" s="187" t="s">
        <v>172</v>
      </c>
      <c r="N86" s="166"/>
    </row>
    <row r="87" spans="1:14" x14ac:dyDescent="0.25">
      <c r="A87" s="99">
        <f t="shared" si="2"/>
        <v>32</v>
      </c>
      <c r="B87" s="109">
        <v>46138</v>
      </c>
      <c r="C87" s="109">
        <v>46139</v>
      </c>
      <c r="D87" s="90" t="s">
        <v>222</v>
      </c>
      <c r="E87" s="90" t="s">
        <v>220</v>
      </c>
      <c r="F87" s="210" t="s">
        <v>343</v>
      </c>
      <c r="G87" s="97" t="s">
        <v>190</v>
      </c>
      <c r="H87" s="90"/>
      <c r="I87" s="137"/>
      <c r="J87" s="173">
        <v>820</v>
      </c>
      <c r="K87" s="143">
        <f t="shared" si="3"/>
        <v>91566</v>
      </c>
      <c r="L87" s="137" t="s">
        <v>96</v>
      </c>
      <c r="M87" s="187" t="s">
        <v>172</v>
      </c>
      <c r="N87" s="166"/>
    </row>
    <row r="88" spans="1:14" x14ac:dyDescent="0.25">
      <c r="A88" s="99">
        <f t="shared" si="2"/>
        <v>33</v>
      </c>
      <c r="B88" s="109">
        <v>46138</v>
      </c>
      <c r="C88" s="109">
        <v>46139</v>
      </c>
      <c r="D88" s="90" t="s">
        <v>223</v>
      </c>
      <c r="E88" s="90" t="s">
        <v>224</v>
      </c>
      <c r="F88" s="210" t="s">
        <v>344</v>
      </c>
      <c r="G88" s="97" t="s">
        <v>190</v>
      </c>
      <c r="H88" s="90"/>
      <c r="I88" s="137"/>
      <c r="J88" s="173">
        <v>1500</v>
      </c>
      <c r="K88" s="143">
        <f t="shared" si="3"/>
        <v>90066</v>
      </c>
      <c r="L88" s="137" t="s">
        <v>96</v>
      </c>
      <c r="M88" s="187" t="s">
        <v>172</v>
      </c>
      <c r="N88" s="166"/>
    </row>
    <row r="89" spans="1:14" x14ac:dyDescent="0.25">
      <c r="A89" s="99">
        <f t="shared" si="2"/>
        <v>34</v>
      </c>
      <c r="B89" s="109">
        <v>46138</v>
      </c>
      <c r="C89" s="109">
        <v>46139</v>
      </c>
      <c r="D89" s="211"/>
      <c r="E89" s="212" t="s">
        <v>263</v>
      </c>
      <c r="F89" s="210" t="s">
        <v>264</v>
      </c>
      <c r="G89" s="97" t="s">
        <v>176</v>
      </c>
      <c r="H89" s="90"/>
      <c r="I89" s="137"/>
      <c r="J89" s="212">
        <v>2446</v>
      </c>
      <c r="K89" s="143">
        <f t="shared" si="3"/>
        <v>87620</v>
      </c>
      <c r="L89" s="137" t="s">
        <v>96</v>
      </c>
      <c r="M89" s="187" t="s">
        <v>172</v>
      </c>
      <c r="N89" s="166"/>
    </row>
    <row r="90" spans="1:14" x14ac:dyDescent="0.25">
      <c r="A90" s="99">
        <f t="shared" si="2"/>
        <v>35</v>
      </c>
      <c r="B90" s="109">
        <v>46138</v>
      </c>
      <c r="C90" s="109">
        <v>46139</v>
      </c>
      <c r="D90" s="211"/>
      <c r="E90" s="212" t="s">
        <v>265</v>
      </c>
      <c r="F90" s="210" t="s">
        <v>266</v>
      </c>
      <c r="G90" s="97" t="s">
        <v>176</v>
      </c>
      <c r="H90" s="90"/>
      <c r="I90" s="137"/>
      <c r="J90" s="212">
        <v>390</v>
      </c>
      <c r="K90" s="143">
        <f>+K89+H90+I90-J90</f>
        <v>87230</v>
      </c>
      <c r="L90" s="137" t="s">
        <v>96</v>
      </c>
      <c r="M90" s="187" t="s">
        <v>172</v>
      </c>
      <c r="N90" s="166"/>
    </row>
    <row r="91" spans="1:14" x14ac:dyDescent="0.25">
      <c r="A91" s="99">
        <f>+A90+1</f>
        <v>36</v>
      </c>
      <c r="B91" s="109">
        <v>46141</v>
      </c>
      <c r="C91" s="109">
        <v>46141</v>
      </c>
      <c r="D91" s="211"/>
      <c r="E91" s="212" t="s">
        <v>271</v>
      </c>
      <c r="F91" s="210" t="s">
        <v>272</v>
      </c>
      <c r="G91" s="97" t="s">
        <v>176</v>
      </c>
      <c r="H91" s="90"/>
      <c r="I91" s="137"/>
      <c r="J91" s="212">
        <v>1050</v>
      </c>
      <c r="K91" s="143">
        <f>+K90+H91+I91-J91</f>
        <v>86180</v>
      </c>
      <c r="L91" s="137" t="s">
        <v>96</v>
      </c>
      <c r="M91" s="187" t="s">
        <v>172</v>
      </c>
      <c r="N91" s="166"/>
    </row>
    <row r="92" spans="1:14" x14ac:dyDescent="0.25">
      <c r="A92" s="99">
        <f t="shared" si="2"/>
        <v>37</v>
      </c>
      <c r="B92" s="109">
        <v>46141</v>
      </c>
      <c r="C92" s="109">
        <v>46141</v>
      </c>
      <c r="D92" s="211"/>
      <c r="E92" s="212" t="s">
        <v>262</v>
      </c>
      <c r="F92" s="210" t="s">
        <v>417</v>
      </c>
      <c r="G92" s="97" t="s">
        <v>176</v>
      </c>
      <c r="H92" s="90"/>
      <c r="I92" s="137"/>
      <c r="J92" s="212">
        <v>1000</v>
      </c>
      <c r="K92" s="143">
        <f t="shared" ref="K92:K104" si="4">+K91+H92+I92-J92</f>
        <v>85180</v>
      </c>
      <c r="L92" s="137" t="s">
        <v>270</v>
      </c>
      <c r="M92" s="187" t="s">
        <v>172</v>
      </c>
      <c r="N92" s="166"/>
    </row>
    <row r="93" spans="1:14" x14ac:dyDescent="0.25">
      <c r="A93" s="99">
        <f>+A92+1</f>
        <v>38</v>
      </c>
      <c r="B93" s="109">
        <v>46142</v>
      </c>
      <c r="C93" s="109">
        <v>46142</v>
      </c>
      <c r="D93" s="211"/>
      <c r="E93" s="212" t="s">
        <v>262</v>
      </c>
      <c r="F93" s="210" t="s">
        <v>417</v>
      </c>
      <c r="G93" s="97" t="s">
        <v>176</v>
      </c>
      <c r="H93" s="90"/>
      <c r="I93" s="137"/>
      <c r="J93" s="212">
        <v>1000</v>
      </c>
      <c r="K93" s="143">
        <f t="shared" si="4"/>
        <v>84180</v>
      </c>
      <c r="L93" s="137" t="s">
        <v>270</v>
      </c>
      <c r="M93" s="187" t="s">
        <v>172</v>
      </c>
      <c r="N93" s="166"/>
    </row>
    <row r="94" spans="1:14" x14ac:dyDescent="0.25">
      <c r="A94" s="99">
        <f t="shared" si="2"/>
        <v>39</v>
      </c>
      <c r="B94" s="109">
        <v>46142</v>
      </c>
      <c r="C94" s="109">
        <v>46142</v>
      </c>
      <c r="D94" s="211"/>
      <c r="E94" s="212" t="s">
        <v>273</v>
      </c>
      <c r="F94" s="210" t="s">
        <v>266</v>
      </c>
      <c r="G94" s="97" t="s">
        <v>176</v>
      </c>
      <c r="H94" s="90"/>
      <c r="I94" s="137"/>
      <c r="J94" s="212">
        <v>420</v>
      </c>
      <c r="K94" s="143">
        <f t="shared" si="4"/>
        <v>83760</v>
      </c>
      <c r="L94" s="137" t="s">
        <v>96</v>
      </c>
      <c r="M94" s="187" t="s">
        <v>172</v>
      </c>
      <c r="N94" s="166"/>
    </row>
    <row r="95" spans="1:14" x14ac:dyDescent="0.25">
      <c r="A95" s="99">
        <f t="shared" si="2"/>
        <v>40</v>
      </c>
      <c r="B95" s="109">
        <v>46142</v>
      </c>
      <c r="C95" s="109">
        <v>46142</v>
      </c>
      <c r="D95" s="90"/>
      <c r="E95" s="212" t="s">
        <v>268</v>
      </c>
      <c r="F95" s="210" t="s">
        <v>274</v>
      </c>
      <c r="G95" s="97" t="s">
        <v>176</v>
      </c>
      <c r="H95" s="90"/>
      <c r="I95" s="137"/>
      <c r="J95" s="212">
        <v>582</v>
      </c>
      <c r="K95" s="143">
        <f t="shared" si="4"/>
        <v>83178</v>
      </c>
      <c r="L95" s="137" t="s">
        <v>96</v>
      </c>
      <c r="M95" s="187" t="s">
        <v>172</v>
      </c>
      <c r="N95" s="166"/>
    </row>
    <row r="96" spans="1:14" x14ac:dyDescent="0.25">
      <c r="A96" s="99">
        <f t="shared" si="2"/>
        <v>41</v>
      </c>
      <c r="B96" s="109">
        <v>46142</v>
      </c>
      <c r="C96" s="109">
        <v>46142</v>
      </c>
      <c r="D96" s="211"/>
      <c r="E96" s="212" t="s">
        <v>273</v>
      </c>
      <c r="F96" s="210" t="s">
        <v>269</v>
      </c>
      <c r="G96" s="97" t="s">
        <v>176</v>
      </c>
      <c r="H96" s="90"/>
      <c r="I96" s="137"/>
      <c r="J96" s="212">
        <v>1080</v>
      </c>
      <c r="K96" s="143">
        <f t="shared" si="4"/>
        <v>82098</v>
      </c>
      <c r="L96" s="137" t="s">
        <v>96</v>
      </c>
      <c r="M96" s="187" t="s">
        <v>172</v>
      </c>
      <c r="N96" s="166"/>
    </row>
    <row r="97" spans="1:14" x14ac:dyDescent="0.25">
      <c r="A97" s="99">
        <f t="shared" si="2"/>
        <v>42</v>
      </c>
      <c r="B97" s="109">
        <v>46142</v>
      </c>
      <c r="C97" s="109">
        <v>46142</v>
      </c>
      <c r="D97" s="211"/>
      <c r="E97" s="212" t="s">
        <v>275</v>
      </c>
      <c r="F97" s="210" t="s">
        <v>345</v>
      </c>
      <c r="G97" s="97" t="s">
        <v>176</v>
      </c>
      <c r="H97" s="90"/>
      <c r="I97" s="137"/>
      <c r="J97" s="212">
        <v>8000</v>
      </c>
      <c r="K97" s="143">
        <f t="shared" si="4"/>
        <v>74098</v>
      </c>
      <c r="L97" s="137" t="s">
        <v>278</v>
      </c>
      <c r="M97" s="187" t="s">
        <v>172</v>
      </c>
      <c r="N97" s="166"/>
    </row>
    <row r="98" spans="1:14" x14ac:dyDescent="0.25">
      <c r="A98" s="99">
        <f t="shared" si="2"/>
        <v>43</v>
      </c>
      <c r="B98" s="109">
        <v>46142</v>
      </c>
      <c r="C98" s="109">
        <v>46142</v>
      </c>
      <c r="D98" s="211"/>
      <c r="E98" s="212" t="s">
        <v>276</v>
      </c>
      <c r="F98" s="210" t="s">
        <v>277</v>
      </c>
      <c r="G98" s="97" t="s">
        <v>176</v>
      </c>
      <c r="H98" s="90"/>
      <c r="I98" s="137"/>
      <c r="J98" s="212">
        <v>700</v>
      </c>
      <c r="K98" s="143">
        <f t="shared" si="4"/>
        <v>73398</v>
      </c>
      <c r="L98" s="137" t="s">
        <v>278</v>
      </c>
      <c r="M98" s="187" t="s">
        <v>172</v>
      </c>
      <c r="N98" s="166"/>
    </row>
    <row r="99" spans="1:14" x14ac:dyDescent="0.25">
      <c r="A99" s="99">
        <f t="shared" si="2"/>
        <v>44</v>
      </c>
      <c r="B99" s="109">
        <v>46143</v>
      </c>
      <c r="C99" s="109">
        <v>46143</v>
      </c>
      <c r="D99" s="212"/>
      <c r="E99" s="220" t="s">
        <v>347</v>
      </c>
      <c r="F99" s="210" t="s">
        <v>348</v>
      </c>
      <c r="G99" s="97" t="s">
        <v>176</v>
      </c>
      <c r="H99" s="90"/>
      <c r="I99" s="137"/>
      <c r="J99" s="212">
        <v>3661</v>
      </c>
      <c r="K99" s="143">
        <f t="shared" si="4"/>
        <v>69737</v>
      </c>
      <c r="L99" s="137" t="s">
        <v>96</v>
      </c>
      <c r="M99" s="187" t="s">
        <v>172</v>
      </c>
      <c r="N99" s="166"/>
    </row>
    <row r="100" spans="1:14" x14ac:dyDescent="0.25">
      <c r="A100" s="99">
        <f t="shared" si="2"/>
        <v>45</v>
      </c>
      <c r="B100" s="109">
        <v>46143</v>
      </c>
      <c r="C100" s="109">
        <v>46143</v>
      </c>
      <c r="D100" s="212"/>
      <c r="E100" s="220" t="s">
        <v>349</v>
      </c>
      <c r="F100" s="210" t="s">
        <v>350</v>
      </c>
      <c r="G100" s="97" t="s">
        <v>176</v>
      </c>
      <c r="H100" s="90"/>
      <c r="I100" s="137"/>
      <c r="J100" s="212">
        <v>6952</v>
      </c>
      <c r="K100" s="143">
        <f t="shared" si="4"/>
        <v>62785</v>
      </c>
      <c r="L100" s="137" t="s">
        <v>96</v>
      </c>
      <c r="M100" s="187" t="s">
        <v>172</v>
      </c>
      <c r="N100" s="166"/>
    </row>
    <row r="101" spans="1:14" x14ac:dyDescent="0.25">
      <c r="A101" s="99">
        <f t="shared" si="2"/>
        <v>46</v>
      </c>
      <c r="B101" s="109">
        <v>46145</v>
      </c>
      <c r="C101" s="109">
        <v>46145</v>
      </c>
      <c r="D101" s="212"/>
      <c r="E101" s="212" t="s">
        <v>410</v>
      </c>
      <c r="F101" s="221" t="s">
        <v>412</v>
      </c>
      <c r="G101" s="97" t="s">
        <v>176</v>
      </c>
      <c r="H101" s="90"/>
      <c r="I101" s="137"/>
      <c r="J101" s="173">
        <v>2872</v>
      </c>
      <c r="K101" s="143">
        <f t="shared" si="4"/>
        <v>59913</v>
      </c>
      <c r="L101" s="137" t="s">
        <v>96</v>
      </c>
      <c r="M101" s="187" t="s">
        <v>172</v>
      </c>
      <c r="N101" s="166"/>
    </row>
    <row r="102" spans="1:14" x14ac:dyDescent="0.25">
      <c r="A102" s="99">
        <f t="shared" si="2"/>
        <v>47</v>
      </c>
      <c r="B102" s="109">
        <v>46146</v>
      </c>
      <c r="C102" s="109">
        <v>46146</v>
      </c>
      <c r="D102" s="212"/>
      <c r="E102" s="212" t="s">
        <v>267</v>
      </c>
      <c r="F102" s="210" t="s">
        <v>409</v>
      </c>
      <c r="G102" s="97" t="s">
        <v>176</v>
      </c>
      <c r="H102" s="90"/>
      <c r="I102" s="137"/>
      <c r="J102" s="174">
        <v>108</v>
      </c>
      <c r="K102" s="143">
        <f t="shared" si="4"/>
        <v>59805</v>
      </c>
      <c r="L102" s="137" t="s">
        <v>96</v>
      </c>
      <c r="M102" s="187" t="s">
        <v>172</v>
      </c>
      <c r="N102" s="166"/>
    </row>
    <row r="103" spans="1:14" x14ac:dyDescent="0.25">
      <c r="A103" s="99">
        <f t="shared" si="2"/>
        <v>48</v>
      </c>
      <c r="B103" s="109">
        <v>46146</v>
      </c>
      <c r="C103" s="109">
        <v>46146</v>
      </c>
      <c r="D103" s="90"/>
      <c r="E103" s="137" t="s">
        <v>411</v>
      </c>
      <c r="F103" s="210" t="s">
        <v>413</v>
      </c>
      <c r="G103" s="97" t="s">
        <v>76</v>
      </c>
      <c r="H103" s="90"/>
      <c r="I103" s="137"/>
      <c r="J103" s="174">
        <v>6994</v>
      </c>
      <c r="K103" s="143">
        <f t="shared" si="4"/>
        <v>52811</v>
      </c>
      <c r="L103" s="137" t="s">
        <v>96</v>
      </c>
      <c r="M103" s="187" t="s">
        <v>172</v>
      </c>
      <c r="N103" s="166"/>
    </row>
    <row r="104" spans="1:14" x14ac:dyDescent="0.25">
      <c r="A104" s="99">
        <f t="shared" si="2"/>
        <v>49</v>
      </c>
      <c r="B104" s="109">
        <v>46146</v>
      </c>
      <c r="C104" s="109">
        <v>46146</v>
      </c>
      <c r="D104" s="90"/>
      <c r="E104" s="137" t="s">
        <v>415</v>
      </c>
      <c r="F104" s="137" t="s">
        <v>416</v>
      </c>
      <c r="G104" s="97" t="s">
        <v>76</v>
      </c>
      <c r="H104" s="90"/>
      <c r="I104" s="137"/>
      <c r="J104" s="174">
        <v>7500</v>
      </c>
      <c r="K104" s="143">
        <f t="shared" si="4"/>
        <v>45311</v>
      </c>
      <c r="L104" s="137" t="s">
        <v>96</v>
      </c>
      <c r="M104" s="187" t="s">
        <v>172</v>
      </c>
      <c r="N104" s="166" t="s">
        <v>414</v>
      </c>
    </row>
    <row r="105" spans="1:14" ht="16.5" x14ac:dyDescent="0.25">
      <c r="A105" s="99">
        <f t="shared" si="2"/>
        <v>50</v>
      </c>
      <c r="B105" s="109"/>
      <c r="C105" s="109"/>
      <c r="D105" s="90"/>
      <c r="E105" s="90"/>
      <c r="F105" s="219"/>
      <c r="G105" s="97"/>
      <c r="H105" s="90"/>
      <c r="I105" s="137"/>
      <c r="J105" s="174"/>
      <c r="K105" s="143"/>
      <c r="L105" s="137"/>
      <c r="M105" s="187"/>
      <c r="N105" s="166"/>
    </row>
    <row r="106" spans="1:14" ht="16.5" x14ac:dyDescent="0.25">
      <c r="A106" s="99">
        <f t="shared" si="2"/>
        <v>51</v>
      </c>
      <c r="B106" s="109"/>
      <c r="C106" s="109"/>
      <c r="D106" s="90"/>
      <c r="E106" s="90"/>
      <c r="F106" s="219"/>
      <c r="G106" s="97"/>
      <c r="H106" s="90"/>
      <c r="I106" s="137"/>
      <c r="J106" s="174"/>
      <c r="K106" s="143"/>
      <c r="L106" s="137"/>
      <c r="M106" s="187"/>
      <c r="N106" s="166"/>
    </row>
    <row r="107" spans="1:14" ht="16.5" x14ac:dyDescent="0.25">
      <c r="A107" s="99"/>
      <c r="B107" s="109"/>
      <c r="C107" s="109"/>
      <c r="D107" s="90"/>
      <c r="E107" s="90"/>
      <c r="F107" s="219"/>
      <c r="G107" s="97"/>
      <c r="H107" s="90"/>
      <c r="I107" s="137"/>
      <c r="J107" s="174"/>
      <c r="K107" s="143"/>
      <c r="L107" s="137"/>
      <c r="M107" s="187"/>
      <c r="N107" s="166"/>
    </row>
    <row r="108" spans="1:14" x14ac:dyDescent="0.25">
      <c r="A108" s="99"/>
      <c r="B108" s="109"/>
      <c r="C108" s="109"/>
      <c r="D108" s="90"/>
      <c r="E108" s="90"/>
      <c r="F108" s="90"/>
      <c r="G108" s="189"/>
      <c r="H108" s="90"/>
      <c r="I108" s="137"/>
      <c r="J108" s="174"/>
      <c r="K108" s="143">
        <f>+K104+H108+I108-J108</f>
        <v>45311</v>
      </c>
      <c r="L108" s="137"/>
      <c r="M108" s="187"/>
      <c r="N108" s="166"/>
    </row>
    <row r="109" spans="1:14" ht="16.5" thickBot="1" x14ac:dyDescent="0.3">
      <c r="D109" s="92"/>
      <c r="E109" s="94"/>
      <c r="F109" s="94"/>
      <c r="G109" s="92"/>
      <c r="H109" s="194"/>
      <c r="I109" s="175"/>
      <c r="J109" s="195"/>
      <c r="K109" s="143">
        <f t="shared" si="3"/>
        <v>45311</v>
      </c>
      <c r="N109" s="166"/>
    </row>
    <row r="110" spans="1:14" ht="16.5" thickBot="1" x14ac:dyDescent="0.3">
      <c r="G110" s="92"/>
      <c r="H110" s="194"/>
      <c r="I110" s="196"/>
      <c r="J110" s="197">
        <f>SUBTOTAL(9,J2:J108)</f>
        <v>367645</v>
      </c>
      <c r="K110" s="157"/>
      <c r="N110" s="166"/>
    </row>
    <row r="111" spans="1:14" ht="16.5" thickBot="1" x14ac:dyDescent="0.3">
      <c r="H111" s="216" t="s">
        <v>351</v>
      </c>
      <c r="I111" s="213" t="s">
        <v>180</v>
      </c>
      <c r="J111" s="198"/>
      <c r="K111" s="199">
        <f>SUM(H2:H108)</f>
        <v>412956</v>
      </c>
    </row>
    <row r="112" spans="1:14" ht="16.5" thickBot="1" x14ac:dyDescent="0.3">
      <c r="H112" s="218" t="s">
        <v>352</v>
      </c>
      <c r="I112" s="214" t="s">
        <v>179</v>
      </c>
      <c r="J112" s="200"/>
      <c r="K112" s="201">
        <f>SUM(J2:J108)</f>
        <v>367645</v>
      </c>
      <c r="N112" s="166"/>
    </row>
    <row r="113" spans="8:13" ht="16.5" thickBot="1" x14ac:dyDescent="0.3">
      <c r="H113" s="217" t="s">
        <v>353</v>
      </c>
      <c r="I113" s="215" t="s">
        <v>181</v>
      </c>
      <c r="J113" s="202"/>
      <c r="K113" s="203">
        <f>K111-K112</f>
        <v>45311</v>
      </c>
      <c r="L113" s="178" t="s">
        <v>184</v>
      </c>
      <c r="M113" s="178" t="s">
        <v>184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3" sqref="N13"/>
    </sheetView>
  </sheetViews>
  <sheetFormatPr defaultRowHeight="15.75" x14ac:dyDescent="0.25"/>
  <sheetData/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24 March 2026 </vt:lpstr>
      <vt:lpstr>Mar26</vt:lpstr>
      <vt:lpstr>Apr26</vt:lpstr>
      <vt:lpstr>工作表3</vt:lpstr>
      <vt:lpstr>Apr2026</vt:lpstr>
      <vt:lpstr>工作表2</vt:lpstr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kst671nb</cp:lastModifiedBy>
  <cp:lastPrinted>2026-04-20T10:42:59Z</cp:lastPrinted>
  <dcterms:created xsi:type="dcterms:W3CDTF">2026-03-13T03:30:00Z</dcterms:created>
  <dcterms:modified xsi:type="dcterms:W3CDTF">2026-05-06T15:23:23Z</dcterms:modified>
</cp:coreProperties>
</file>